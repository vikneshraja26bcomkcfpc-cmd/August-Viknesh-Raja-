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249" documentId="11_0A95BD64E094DCDBB010C1953EAD760F889ACA5B" xr6:coauthVersionLast="47" xr6:coauthVersionMax="47" xr10:uidLastSave="{0E50A2D5-854C-46A4-8E99-75F358D9E118}"/>
  <bookViews>
    <workbookView xWindow="0" yWindow="0" windowWidth="0" windowHeight="0" firstSheet="2" activeTab="5" xr2:uid="{00000000-000D-0000-FFFF-FFFF00000000}"/>
  </bookViews>
  <sheets>
    <sheet name="Transaction" sheetId="1" r:id="rId1"/>
    <sheet name="journal" sheetId="2" r:id="rId2"/>
    <sheet name="Ledger" sheetId="3" r:id="rId3"/>
    <sheet name="Trial balance" sheetId="4" r:id="rId4"/>
    <sheet name="I&amp;E" sheetId="5" r:id="rId5"/>
    <sheet name="Balance Sheet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HY4DNT2eyDEUdrahaOSclHZbyvYhww6GFNLN8lVFig0="/>
    </ext>
  </extLst>
</workbook>
</file>

<file path=xl/calcChain.xml><?xml version="1.0" encoding="utf-8"?>
<calcChain xmlns="http://schemas.openxmlformats.org/spreadsheetml/2006/main">
  <c r="D58" i="3" l="1"/>
  <c r="D39" i="3"/>
  <c r="D38" i="3"/>
  <c r="H38" i="3"/>
  <c r="H58" i="3" l="1"/>
  <c r="H57" i="3"/>
  <c r="D59" i="3"/>
</calcChain>
</file>

<file path=xl/sharedStrings.xml><?xml version="1.0" encoding="utf-8"?>
<sst xmlns="http://schemas.openxmlformats.org/spreadsheetml/2006/main" count="475" uniqueCount="134">
  <si>
    <t>Week1</t>
  </si>
  <si>
    <t>Date</t>
  </si>
  <si>
    <t>Particulars</t>
  </si>
  <si>
    <t>Amount ₹</t>
  </si>
  <si>
    <t>Opening cash  balance</t>
  </si>
  <si>
    <t>Purchased Diary product by cash</t>
  </si>
  <si>
    <t>Purchased fruits and vegetables</t>
  </si>
  <si>
    <t xml:space="preserve">Travelling Expenses </t>
  </si>
  <si>
    <t>Paid Bike loan by cash</t>
  </si>
  <si>
    <t>purchased Groceries</t>
  </si>
  <si>
    <t xml:space="preserve">Received Wages </t>
  </si>
  <si>
    <t>Paid Gas bill by cash</t>
  </si>
  <si>
    <t>Week2</t>
  </si>
  <si>
    <t>Received Rent by cash</t>
  </si>
  <si>
    <t>13/08/2026</t>
  </si>
  <si>
    <t>14/08/2026</t>
  </si>
  <si>
    <t>Paid Internet bill by cash</t>
  </si>
  <si>
    <t>Week3</t>
  </si>
  <si>
    <t>Paid Fuel Expenses</t>
  </si>
  <si>
    <t>20/08/2026</t>
  </si>
  <si>
    <t>21/08/2026</t>
  </si>
  <si>
    <t>Paid water bill by cash</t>
  </si>
  <si>
    <t>Week4</t>
  </si>
  <si>
    <t>22/08/2026</t>
  </si>
  <si>
    <t>23/08/2026</t>
  </si>
  <si>
    <t>24/08/2026</t>
  </si>
  <si>
    <t>Travelling Expenses</t>
  </si>
  <si>
    <t>25/08/2026</t>
  </si>
  <si>
    <t>26/08/2026</t>
  </si>
  <si>
    <t>27/08/2026</t>
  </si>
  <si>
    <t>Received Wages</t>
  </si>
  <si>
    <t>28/08/2026</t>
  </si>
  <si>
    <t>Paid electricity bill</t>
  </si>
  <si>
    <t>In the Book of Journal for the Month Ended August.</t>
  </si>
  <si>
    <t>L.F.</t>
  </si>
  <si>
    <t>Debit (₹)</t>
  </si>
  <si>
    <t>Credit (₹)</t>
  </si>
  <si>
    <t xml:space="preserve">Cash A/c </t>
  </si>
  <si>
    <t>Dr</t>
  </si>
  <si>
    <t>To Capital A/c</t>
  </si>
  <si>
    <t>(Being opening cash balance introduced as capital)</t>
  </si>
  <si>
    <t xml:space="preserve">Purchases A/c </t>
  </si>
  <si>
    <t>To Cash A/c</t>
  </si>
  <si>
    <t>(Being diary product purchased for cash)</t>
  </si>
  <si>
    <t>(Being fruits and vegetables purchased for cash)</t>
  </si>
  <si>
    <t xml:space="preserve">Travelling Expenses A/c </t>
  </si>
  <si>
    <t>(Being travelling expenses paid in cash)</t>
  </si>
  <si>
    <t xml:space="preserve">Bike Loan A/c </t>
  </si>
  <si>
    <t>(Being bike loan paid by cash)</t>
  </si>
  <si>
    <t>(Being groceries purchased for cash)</t>
  </si>
  <si>
    <t>To Wages A/c</t>
  </si>
  <si>
    <t>(Being wages received in cash)</t>
  </si>
  <si>
    <t xml:space="preserve">Gas Bill Expenses A/c </t>
  </si>
  <si>
    <t>(Being gas bill paid by cash)</t>
  </si>
  <si>
    <t>Purchases A/c</t>
  </si>
  <si>
    <t xml:space="preserve">
600</t>
  </si>
  <si>
    <t>(Being dairy products purchased for cash)</t>
  </si>
  <si>
    <t xml:space="preserve">
800</t>
  </si>
  <si>
    <t>Travelling Expenses A/c</t>
  </si>
  <si>
    <t>Cash A/c</t>
  </si>
  <si>
    <t>To Rent A/c</t>
  </si>
  <si>
    <t xml:space="preserve">
3,000</t>
  </si>
  <si>
    <t>(Being rent received in cash)</t>
  </si>
  <si>
    <t xml:space="preserve">
6,000</t>
  </si>
  <si>
    <t>Internet Bill Expenses A/c</t>
  </si>
  <si>
    <t xml:space="preserve">
1,200</t>
  </si>
  <si>
    <t>(Being internet bill paid by cash)</t>
  </si>
  <si>
    <t>(Being fruits and vegetables purchased)</t>
  </si>
  <si>
    <t>(Being travelling expenses paid)</t>
  </si>
  <si>
    <t xml:space="preserve">Fuel Expense A/c </t>
  </si>
  <si>
    <t xml:space="preserve">
400</t>
  </si>
  <si>
    <t>(Being fuel expenses paid)</t>
  </si>
  <si>
    <t>(Being groceries purchased)</t>
  </si>
  <si>
    <t>To Wages  A/c</t>
  </si>
  <si>
    <t>(Being wages received)</t>
  </si>
  <si>
    <t xml:space="preserve">Water Bill A/c </t>
  </si>
  <si>
    <t xml:space="preserve">
1,000</t>
  </si>
  <si>
    <t>(Being water bill paid by cash)</t>
  </si>
  <si>
    <t xml:space="preserve"> (Being fruits and vegetables purchased for cash)</t>
  </si>
  <si>
    <t xml:space="preserve">Travelling Expense A/c </t>
  </si>
  <si>
    <t>(Being fuel expenses paid in cash)</t>
  </si>
  <si>
    <t xml:space="preserve">Electricity Bill  A/c </t>
  </si>
  <si>
    <t>(Being electricity bill paid by cash)</t>
  </si>
  <si>
    <t>In the Book of Ledger for the Month Ended August.</t>
  </si>
  <si>
    <t>Capital A/c</t>
  </si>
  <si>
    <t>Cr</t>
  </si>
  <si>
    <t>J.F</t>
  </si>
  <si>
    <t>Amount₹</t>
  </si>
  <si>
    <t>By Cash A/c</t>
  </si>
  <si>
    <t>To Balance C/d</t>
  </si>
  <si>
    <t>To Balance B/d</t>
  </si>
  <si>
    <t>By Purchases A/c</t>
  </si>
  <si>
    <t>By Travelling Expenses A/c</t>
  </si>
  <si>
    <t>By Bike Loan A/c</t>
  </si>
  <si>
    <t>By Gas Bill Expenses A/c</t>
  </si>
  <si>
    <t>By Internet Bill Expenses A/c</t>
  </si>
  <si>
    <t xml:space="preserve">Water Bill Expense A/c </t>
  </si>
  <si>
    <t>By Electricity Bill A/c</t>
  </si>
  <si>
    <t>By Balance C/d</t>
  </si>
  <si>
    <t>By Balance B/d</t>
  </si>
  <si>
    <t>31/08/2026</t>
  </si>
  <si>
    <t>03/08//2026</t>
  </si>
  <si>
    <t>17/08/2026</t>
  </si>
  <si>
    <t>Bike Loan A/c</t>
  </si>
  <si>
    <t>Wages A/c</t>
  </si>
  <si>
    <t>Gas Bill Expenses A/c</t>
  </si>
  <si>
    <t>Rent A/c</t>
  </si>
  <si>
    <t>Trial Balance for the Month Ended 31st August 2026</t>
  </si>
  <si>
    <t>Debit ₹</t>
  </si>
  <si>
    <t>Credit ₹</t>
  </si>
  <si>
    <t>Telephone Expenses A/c</t>
  </si>
  <si>
    <t>Water Bill Expenses A/c</t>
  </si>
  <si>
    <t>Electricity Bill Expenses A/c</t>
  </si>
  <si>
    <t>Total</t>
  </si>
  <si>
    <t>Income &amp; Expenditure for the Month Ended 31st August 2026</t>
  </si>
  <si>
    <t>Expenditure</t>
  </si>
  <si>
    <t>Income</t>
  </si>
  <si>
    <t>To Travelling Expenses</t>
  </si>
  <si>
    <t>By Wages Received</t>
  </si>
  <si>
    <t>To Gas Bill Expenses</t>
  </si>
  <si>
    <t>By Rent Received</t>
  </si>
  <si>
    <t>To Internet Bill Expenses</t>
  </si>
  <si>
    <t>To Telephone Expenses</t>
  </si>
  <si>
    <t>To Water Bill Expenses</t>
  </si>
  <si>
    <t>To Electricity Bill Expenses</t>
  </si>
  <si>
    <t xml:space="preserve">To Surplus </t>
  </si>
  <si>
    <t>Liabilities</t>
  </si>
  <si>
    <t>Assets</t>
  </si>
  <si>
    <t>Capital</t>
  </si>
  <si>
    <t>Cash in Hand</t>
  </si>
  <si>
    <t xml:space="preserve">Add: Surplus </t>
  </si>
  <si>
    <t>Total Capital</t>
  </si>
  <si>
    <t>Non-Current Liabilities</t>
  </si>
  <si>
    <t>Bike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</si>
</sst>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d/m/yyyy"/>
    <numFmt numFmtId="166" formatCode="_(* #,##0_);_(* \(#,##0\);_(* &quot;-&quot;??_);_(@_)"/>
  </numFmts>
  <fonts count="25">
    <font>
      <sz val="11"/>
      <color theme="1"/>
      <name val="Calibri"/>
      <scheme val="minor"/>
    </font>
    <font>
      <sz val="11"/>
      <color theme="1"/>
      <name val="Times New Roman"/>
    </font>
    <font>
      <b/>
      <sz val="14"/>
      <color theme="1"/>
      <name val="Times New Roman"/>
    </font>
    <font>
      <b/>
      <sz val="16"/>
      <color theme="1"/>
      <name val="Aptos Narrow"/>
    </font>
    <font>
      <b/>
      <sz val="12"/>
      <color theme="1"/>
      <name val="Times New Roman"/>
    </font>
    <font>
      <sz val="11"/>
      <name val="Calibri"/>
    </font>
    <font>
      <sz val="11"/>
      <color theme="1"/>
      <name val="Calibri"/>
    </font>
    <font>
      <sz val="11"/>
      <color rgb="FF000000"/>
      <name val="Times New Roman"/>
    </font>
    <font>
      <sz val="11"/>
      <color rgb="FF000000"/>
      <name val="Calibri"/>
    </font>
    <font>
      <b/>
      <sz val="12"/>
      <color rgb="FF000000"/>
      <name val="Times New Roman"/>
    </font>
    <font>
      <b/>
      <sz val="11"/>
      <color rgb="FF000000"/>
      <name val="Times New Roman"/>
    </font>
    <font>
      <b/>
      <sz val="12"/>
      <color theme="1"/>
      <name val="Calibri"/>
    </font>
    <font>
      <sz val="11"/>
      <color theme="1"/>
      <name val="Calibri"/>
      <scheme val="minor"/>
    </font>
    <font>
      <sz val="11"/>
      <color rgb="FF1F1F1F"/>
      <name val="Times New Roman"/>
    </font>
    <font>
      <sz val="12"/>
      <color rgb="FF000000"/>
      <name val="Times New Roman"/>
    </font>
    <font>
      <b/>
      <sz val="16"/>
      <color theme="1"/>
      <name val="Times New Roman"/>
      <charset val="1"/>
    </font>
    <font>
      <b/>
      <sz val="11"/>
      <color theme="1"/>
      <name val="Calibri"/>
      <scheme val="minor"/>
    </font>
    <font>
      <sz val="11"/>
      <color theme="1"/>
      <name val="Aptos Narrow"/>
      <charset val="1"/>
    </font>
    <font>
      <b/>
      <sz val="11"/>
      <color theme="1"/>
      <name val="Aptos Narrow"/>
      <charset val="1"/>
    </font>
    <font>
      <sz val="10"/>
      <color theme="1"/>
      <name val="Arial"/>
      <charset val="1"/>
    </font>
    <font>
      <b/>
      <sz val="10"/>
      <color theme="1"/>
      <name val="Arial"/>
      <charset val="1"/>
    </font>
    <font>
      <b/>
      <sz val="14"/>
      <color theme="1"/>
      <name val="Aptos Narrow"/>
      <charset val="1"/>
    </font>
    <font>
      <b/>
      <sz val="11"/>
      <color theme="1"/>
      <name val="Times New Roman"/>
    </font>
    <font>
      <sz val="10"/>
      <color theme="1"/>
      <name val="Times New Roman"/>
    </font>
    <font>
      <b/>
      <sz val="10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</borders>
  <cellStyleXfs count="1">
    <xf numFmtId="0" fontId="0" fillId="0" borderId="0"/>
  </cellStyleXfs>
  <cellXfs count="109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horizontal="center"/>
    </xf>
    <xf numFmtId="0" fontId="4" fillId="0" borderId="2" xfId="0" applyFont="1" applyBorder="1"/>
    <xf numFmtId="164" fontId="6" fillId="0" borderId="2" xfId="0" applyNumberFormat="1" applyFont="1" applyBorder="1" applyAlignment="1">
      <alignment horizontal="right"/>
    </xf>
    <xf numFmtId="0" fontId="7" fillId="0" borderId="0" xfId="0" applyFont="1"/>
    <xf numFmtId="0" fontId="8" fillId="0" borderId="0" xfId="0" applyFont="1"/>
    <xf numFmtId="0" fontId="1" fillId="0" borderId="2" xfId="0" applyFont="1" applyBorder="1" applyAlignment="1">
      <alignment horizontal="left"/>
    </xf>
    <xf numFmtId="0" fontId="1" fillId="0" borderId="2" xfId="0" applyFont="1" applyBorder="1"/>
    <xf numFmtId="0" fontId="9" fillId="0" borderId="2" xfId="0" applyFont="1" applyBorder="1"/>
    <xf numFmtId="0" fontId="10" fillId="0" borderId="2" xfId="0" applyFont="1" applyBorder="1"/>
    <xf numFmtId="0" fontId="6" fillId="0" borderId="0" xfId="0" applyFont="1" applyAlignment="1"/>
    <xf numFmtId="164" fontId="7" fillId="0" borderId="2" xfId="0" applyNumberFormat="1" applyFont="1" applyBorder="1" applyAlignment="1"/>
    <xf numFmtId="0" fontId="11" fillId="0" borderId="2" xfId="0" applyFont="1" applyBorder="1" applyAlignment="1"/>
    <xf numFmtId="0" fontId="7" fillId="0" borderId="2" xfId="0" applyFont="1" applyBorder="1"/>
    <xf numFmtId="3" fontId="7" fillId="0" borderId="2" xfId="0" applyNumberFormat="1" applyFont="1" applyBorder="1"/>
    <xf numFmtId="0" fontId="12" fillId="0" borderId="0" xfId="0" applyFont="1"/>
    <xf numFmtId="164" fontId="7" fillId="0" borderId="2" xfId="0" applyNumberFormat="1" applyFont="1" applyBorder="1"/>
    <xf numFmtId="165" fontId="6" fillId="0" borderId="2" xfId="0" applyNumberFormat="1" applyFont="1" applyBorder="1" applyAlignment="1"/>
    <xf numFmtId="0" fontId="6" fillId="0" borderId="5" xfId="0" applyFont="1" applyBorder="1"/>
    <xf numFmtId="4" fontId="7" fillId="0" borderId="2" xfId="0" applyNumberFormat="1" applyFont="1" applyBorder="1"/>
    <xf numFmtId="164" fontId="7" fillId="0" borderId="2" xfId="0" applyNumberFormat="1" applyFont="1" applyBorder="1" applyAlignment="1">
      <alignment horizontal="right"/>
    </xf>
    <xf numFmtId="164" fontId="1" fillId="0" borderId="2" xfId="0" applyNumberFormat="1" applyFont="1" applyBorder="1"/>
    <xf numFmtId="165" fontId="1" fillId="0" borderId="2" xfId="0" applyNumberFormat="1" applyFont="1" applyBorder="1"/>
    <xf numFmtId="164" fontId="9" fillId="0" borderId="0" xfId="0" applyNumberFormat="1" applyFont="1"/>
    <xf numFmtId="0" fontId="9" fillId="0" borderId="0" xfId="0" applyFont="1"/>
    <xf numFmtId="4" fontId="7" fillId="0" borderId="0" xfId="0" applyNumberFormat="1" applyFont="1"/>
    <xf numFmtId="164" fontId="1" fillId="0" borderId="2" xfId="0" applyNumberFormat="1" applyFont="1" applyBorder="1" applyAlignment="1">
      <alignment horizontal="right"/>
    </xf>
    <xf numFmtId="166" fontId="7" fillId="0" borderId="2" xfId="0" applyNumberFormat="1" applyFont="1" applyBorder="1"/>
    <xf numFmtId="0" fontId="7" fillId="0" borderId="7" xfId="0" applyFont="1" applyBorder="1"/>
    <xf numFmtId="3" fontId="7" fillId="0" borderId="7" xfId="0" applyNumberFormat="1" applyFont="1" applyBorder="1"/>
    <xf numFmtId="164" fontId="13" fillId="0" borderId="2" xfId="0" applyNumberFormat="1" applyFont="1" applyBorder="1" applyAlignment="1">
      <alignment horizontal="right" readingOrder="1"/>
    </xf>
    <xf numFmtId="0" fontId="13" fillId="0" borderId="2" xfId="0" applyFont="1" applyBorder="1" applyAlignment="1">
      <alignment horizontal="left" readingOrder="1"/>
    </xf>
    <xf numFmtId="164" fontId="7" fillId="0" borderId="7" xfId="0" applyNumberFormat="1" applyFont="1" applyBorder="1"/>
    <xf numFmtId="0" fontId="7" fillId="0" borderId="8" xfId="0" applyFont="1" applyBorder="1"/>
    <xf numFmtId="0" fontId="7" fillId="0" borderId="1" xfId="0" applyFont="1" applyBorder="1"/>
    <xf numFmtId="0" fontId="6" fillId="0" borderId="2" xfId="0" applyFont="1" applyBorder="1"/>
    <xf numFmtId="164" fontId="13" fillId="0" borderId="7" xfId="0" applyNumberFormat="1" applyFont="1" applyBorder="1" applyAlignment="1">
      <alignment horizontal="right" readingOrder="1"/>
    </xf>
    <xf numFmtId="0" fontId="13" fillId="0" borderId="7" xfId="0" applyFont="1" applyBorder="1" applyAlignment="1">
      <alignment horizontal="left" readingOrder="1"/>
    </xf>
    <xf numFmtId="0" fontId="13" fillId="0" borderId="1" xfId="0" applyFont="1" applyBorder="1" applyAlignment="1">
      <alignment horizontal="left" readingOrder="1"/>
    </xf>
    <xf numFmtId="0" fontId="1" fillId="0" borderId="2" xfId="0" applyFont="1" applyBorder="1" applyAlignment="1">
      <alignment horizontal="right"/>
    </xf>
    <xf numFmtId="0" fontId="1" fillId="0" borderId="1" xfId="0" applyFont="1" applyBorder="1"/>
    <xf numFmtId="0" fontId="13" fillId="0" borderId="2" xfId="0" applyFont="1" applyBorder="1" applyAlignment="1">
      <alignment horizontal="right" wrapText="1" readingOrder="1"/>
    </xf>
    <xf numFmtId="3" fontId="9" fillId="0" borderId="1" xfId="0" applyNumberFormat="1" applyFont="1" applyBorder="1"/>
    <xf numFmtId="164" fontId="7" fillId="0" borderId="0" xfId="0" applyNumberFormat="1" applyFont="1"/>
    <xf numFmtId="164" fontId="10" fillId="0" borderId="2" xfId="0" applyNumberFormat="1" applyFont="1" applyBorder="1"/>
    <xf numFmtId="0" fontId="7" fillId="0" borderId="2" xfId="0" applyFont="1" applyBorder="1" applyAlignment="1">
      <alignment horizontal="right"/>
    </xf>
    <xf numFmtId="0" fontId="1" fillId="0" borderId="7" xfId="0" applyFont="1" applyBorder="1"/>
    <xf numFmtId="0" fontId="13" fillId="0" borderId="7" xfId="0" applyFont="1" applyBorder="1" applyAlignment="1">
      <alignment horizontal="right" wrapText="1" readingOrder="1"/>
    </xf>
    <xf numFmtId="0" fontId="1" fillId="0" borderId="8" xfId="0" applyFont="1" applyBorder="1"/>
    <xf numFmtId="0" fontId="6" fillId="0" borderId="2" xfId="0" applyFont="1" applyBorder="1" applyAlignment="1">
      <alignment horizontal="right"/>
    </xf>
    <xf numFmtId="0" fontId="13" fillId="0" borderId="2" xfId="0" applyFont="1" applyBorder="1" applyAlignment="1">
      <alignment horizontal="right" readingOrder="1"/>
    </xf>
    <xf numFmtId="164" fontId="14" fillId="0" borderId="4" xfId="0" applyNumberFormat="1" applyFont="1" applyBorder="1" applyAlignment="1"/>
    <xf numFmtId="0" fontId="14" fillId="0" borderId="2" xfId="0" applyFont="1" applyBorder="1"/>
    <xf numFmtId="3" fontId="14" fillId="0" borderId="1" xfId="0" applyNumberFormat="1" applyFont="1" applyBorder="1"/>
    <xf numFmtId="0" fontId="0" fillId="0" borderId="0" xfId="0" applyFont="1" applyAlignment="1"/>
    <xf numFmtId="164" fontId="1" fillId="0" borderId="7" xfId="0" applyNumberFormat="1" applyFont="1" applyBorder="1" applyAlignment="1">
      <alignment horizontal="right"/>
    </xf>
    <xf numFmtId="0" fontId="0" fillId="0" borderId="2" xfId="0" applyFont="1" applyBorder="1" applyAlignment="1"/>
    <xf numFmtId="0" fontId="1" fillId="0" borderId="0" xfId="0" applyFont="1" applyAlignment="1"/>
    <xf numFmtId="0" fontId="4" fillId="0" borderId="2" xfId="0" applyFont="1" applyBorder="1" applyAlignment="1"/>
    <xf numFmtId="0" fontId="1" fillId="0" borderId="2" xfId="0" applyFont="1" applyBorder="1" applyAlignment="1"/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/>
    </xf>
    <xf numFmtId="3" fontId="7" fillId="0" borderId="2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0" fontId="7" fillId="0" borderId="2" xfId="0" applyFont="1" applyBorder="1" applyAlignment="1">
      <alignment horizontal="left" vertical="center"/>
    </xf>
    <xf numFmtId="0" fontId="1" fillId="0" borderId="7" xfId="0" applyFont="1" applyBorder="1" applyAlignment="1">
      <alignment horizontal="right"/>
    </xf>
    <xf numFmtId="3" fontId="13" fillId="0" borderId="2" xfId="0" applyNumberFormat="1" applyFont="1" applyBorder="1" applyAlignment="1">
      <alignment horizontal="right" readingOrder="1"/>
    </xf>
    <xf numFmtId="0" fontId="1" fillId="0" borderId="8" xfId="0" applyFont="1" applyBorder="1" applyAlignment="1">
      <alignment horizontal="right"/>
    </xf>
    <xf numFmtId="0" fontId="13" fillId="0" borderId="1" xfId="0" applyFont="1" applyBorder="1" applyAlignment="1">
      <alignment horizontal="right" readingOrder="1"/>
    </xf>
    <xf numFmtId="0" fontId="1" fillId="0" borderId="1" xfId="0" applyFont="1" applyBorder="1" applyAlignment="1">
      <alignment horizontal="right"/>
    </xf>
    <xf numFmtId="3" fontId="13" fillId="0" borderId="1" xfId="0" applyNumberFormat="1" applyFont="1" applyBorder="1" applyAlignment="1">
      <alignment horizontal="right" readingOrder="1"/>
    </xf>
    <xf numFmtId="164" fontId="7" fillId="0" borderId="6" xfId="0" applyNumberFormat="1" applyFont="1" applyBorder="1"/>
    <xf numFmtId="0" fontId="7" fillId="0" borderId="6" xfId="0" applyFont="1" applyBorder="1"/>
    <xf numFmtId="3" fontId="7" fillId="0" borderId="6" xfId="0" applyNumberFormat="1" applyFont="1" applyBorder="1"/>
    <xf numFmtId="164" fontId="1" fillId="0" borderId="6" xfId="0" applyNumberFormat="1" applyFont="1" applyBorder="1" applyAlignment="1">
      <alignment horizontal="right"/>
    </xf>
    <xf numFmtId="0" fontId="9" fillId="0" borderId="0" xfId="0" applyFont="1" applyAlignment="1">
      <alignment horizontal="center"/>
    </xf>
    <xf numFmtId="0" fontId="0" fillId="0" borderId="0" xfId="0" applyFont="1" applyAlignment="1"/>
    <xf numFmtId="0" fontId="15" fillId="0" borderId="1" xfId="0" applyFont="1" applyBorder="1" applyAlignment="1">
      <alignment horizontal="center" readingOrder="1"/>
    </xf>
    <xf numFmtId="0" fontId="15" fillId="0" borderId="3" xfId="0" applyFont="1" applyBorder="1" applyAlignment="1">
      <alignment horizontal="center" readingOrder="1"/>
    </xf>
    <xf numFmtId="0" fontId="15" fillId="0" borderId="4" xfId="0" applyFont="1" applyBorder="1" applyAlignment="1">
      <alignment horizontal="center" readingOrder="1"/>
    </xf>
    <xf numFmtId="0" fontId="9" fillId="0" borderId="1" xfId="0" applyFont="1" applyBorder="1" applyAlignment="1">
      <alignment horizontal="center"/>
    </xf>
    <xf numFmtId="0" fontId="5" fillId="0" borderId="3" xfId="0" applyFont="1" applyBorder="1" applyAlignment="1"/>
    <xf numFmtId="0" fontId="5" fillId="0" borderId="4" xfId="0" applyFont="1" applyBorder="1" applyAlignment="1"/>
    <xf numFmtId="0" fontId="3" fillId="0" borderId="1" xfId="0" applyFont="1" applyBorder="1" applyAlignment="1">
      <alignment horizontal="center" readingOrder="1"/>
    </xf>
    <xf numFmtId="0" fontId="17" fillId="0" borderId="9" xfId="0" applyFont="1" applyBorder="1" applyAlignment="1">
      <alignment readingOrder="1"/>
    </xf>
    <xf numFmtId="0" fontId="17" fillId="0" borderId="10" xfId="0" applyFont="1" applyBorder="1" applyAlignment="1">
      <alignment readingOrder="1"/>
    </xf>
    <xf numFmtId="0" fontId="17" fillId="0" borderId="11" xfId="0" applyFont="1" applyBorder="1" applyAlignment="1">
      <alignment readingOrder="1"/>
    </xf>
    <xf numFmtId="0" fontId="19" fillId="0" borderId="2" xfId="0" applyFont="1" applyBorder="1" applyAlignment="1">
      <alignment readingOrder="1"/>
    </xf>
    <xf numFmtId="0" fontId="20" fillId="0" borderId="2" xfId="0" applyFont="1" applyBorder="1" applyAlignment="1">
      <alignment readingOrder="1"/>
    </xf>
    <xf numFmtId="0" fontId="2" fillId="0" borderId="0" xfId="0" applyFont="1" applyBorder="1" applyAlignment="1">
      <alignment horizontal="center" wrapText="1" readingOrder="1"/>
    </xf>
    <xf numFmtId="0" fontId="1" fillId="0" borderId="0" xfId="0" applyFont="1" applyBorder="1" applyAlignment="1">
      <alignment readingOrder="1"/>
    </xf>
    <xf numFmtId="0" fontId="22" fillId="0" borderId="2" xfId="0" applyFont="1" applyBorder="1" applyAlignment="1">
      <alignment readingOrder="1"/>
    </xf>
    <xf numFmtId="0" fontId="23" fillId="0" borderId="2" xfId="0" applyFont="1" applyBorder="1" applyAlignment="1">
      <alignment readingOrder="1"/>
    </xf>
    <xf numFmtId="0" fontId="24" fillId="0" borderId="2" xfId="0" applyFont="1" applyBorder="1" applyAlignment="1">
      <alignment readingOrder="1"/>
    </xf>
    <xf numFmtId="3" fontId="19" fillId="0" borderId="2" xfId="0" applyNumberFormat="1" applyFont="1" applyBorder="1" applyAlignment="1">
      <alignment readingOrder="1"/>
    </xf>
    <xf numFmtId="0" fontId="21" fillId="0" borderId="8" xfId="0" applyFont="1" applyBorder="1" applyAlignment="1">
      <alignment horizontal="center" wrapText="1" readingOrder="1"/>
    </xf>
    <xf numFmtId="0" fontId="21" fillId="0" borderId="12" xfId="0" applyFont="1" applyBorder="1" applyAlignment="1">
      <alignment horizontal="center" wrapText="1" readingOrder="1"/>
    </xf>
    <xf numFmtId="0" fontId="21" fillId="0" borderId="13" xfId="0" applyFont="1" applyBorder="1" applyAlignment="1">
      <alignment horizontal="center" wrapText="1" readingOrder="1"/>
    </xf>
    <xf numFmtId="3" fontId="23" fillId="0" borderId="2" xfId="0" applyNumberFormat="1" applyFont="1" applyBorder="1" applyAlignment="1">
      <alignment readingOrder="1"/>
    </xf>
    <xf numFmtId="0" fontId="22" fillId="0" borderId="2" xfId="0" applyFont="1" applyBorder="1" applyAlignment="1"/>
    <xf numFmtId="3" fontId="24" fillId="0" borderId="2" xfId="0" applyNumberFormat="1" applyFont="1" applyBorder="1" applyAlignment="1">
      <alignment readingOrder="1"/>
    </xf>
    <xf numFmtId="0" fontId="21" fillId="0" borderId="1" xfId="0" applyFont="1" applyBorder="1" applyAlignment="1">
      <alignment horizontal="center" readingOrder="1"/>
    </xf>
    <xf numFmtId="0" fontId="21" fillId="0" borderId="3" xfId="0" applyFont="1" applyBorder="1" applyAlignment="1">
      <alignment horizontal="center" readingOrder="1"/>
    </xf>
    <xf numFmtId="0" fontId="21" fillId="0" borderId="4" xfId="0" applyFont="1" applyBorder="1" applyAlignment="1">
      <alignment horizontal="center" readingOrder="1"/>
    </xf>
    <xf numFmtId="0" fontId="18" fillId="2" borderId="14" xfId="0" applyFont="1" applyFill="1" applyBorder="1" applyAlignment="1">
      <alignment readingOrder="1"/>
    </xf>
    <xf numFmtId="0" fontId="18" fillId="2" borderId="15" xfId="0" applyFont="1" applyFill="1" applyBorder="1" applyAlignment="1">
      <alignment readingOrder="1"/>
    </xf>
    <xf numFmtId="0" fontId="16" fillId="0" borderId="2" xfId="0" applyFont="1" applyBorder="1" applyAlignment="1"/>
    <xf numFmtId="3" fontId="20" fillId="0" borderId="2" xfId="0" applyNumberFormat="1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opLeftCell="A20" workbookViewId="0">
      <selection activeCell="H36" sqref="H36"/>
    </sheetView>
  </sheetViews>
  <sheetFormatPr defaultColWidth="14.42578125" defaultRowHeight="15" customHeight="1"/>
  <cols>
    <col min="1" max="1" width="11.42578125" bestFit="1" customWidth="1"/>
    <col min="2" max="2" width="30.140625" bestFit="1" customWidth="1"/>
    <col min="3" max="3" width="10.85546875" bestFit="1" customWidth="1"/>
    <col min="4" max="26" width="8.7109375" customWidth="1"/>
  </cols>
  <sheetData>
    <row r="1" spans="1:3">
      <c r="A1" s="1"/>
      <c r="B1" s="2" t="s">
        <v>0</v>
      </c>
      <c r="C1" s="1"/>
    </row>
    <row r="2" spans="1:3">
      <c r="A2" s="3" t="s">
        <v>1</v>
      </c>
      <c r="B2" s="3" t="s">
        <v>2</v>
      </c>
      <c r="C2" s="3" t="s">
        <v>3</v>
      </c>
    </row>
    <row r="3" spans="1:3">
      <c r="A3" s="4">
        <v>46235</v>
      </c>
      <c r="B3" s="7" t="s">
        <v>4</v>
      </c>
      <c r="C3" s="8">
        <v>60000</v>
      </c>
    </row>
    <row r="4" spans="1:3">
      <c r="A4" s="4">
        <v>46235</v>
      </c>
      <c r="B4" s="8" t="s">
        <v>5</v>
      </c>
      <c r="C4" s="8">
        <v>600</v>
      </c>
    </row>
    <row r="5" spans="1:3">
      <c r="A5" s="4">
        <v>46236</v>
      </c>
      <c r="B5" s="8" t="s">
        <v>6</v>
      </c>
      <c r="C5" s="8">
        <v>800</v>
      </c>
    </row>
    <row r="6" spans="1:3">
      <c r="A6" s="4">
        <v>46237</v>
      </c>
      <c r="B6" s="8" t="s">
        <v>7</v>
      </c>
      <c r="C6" s="8">
        <v>600</v>
      </c>
    </row>
    <row r="7" spans="1:3">
      <c r="A7" s="4">
        <v>46238</v>
      </c>
      <c r="B7" s="8" t="s">
        <v>8</v>
      </c>
      <c r="C7" s="8">
        <v>6000</v>
      </c>
    </row>
    <row r="8" spans="1:3">
      <c r="A8" s="4">
        <v>46239</v>
      </c>
      <c r="B8" s="8" t="s">
        <v>9</v>
      </c>
      <c r="C8" s="8">
        <v>800</v>
      </c>
    </row>
    <row r="9" spans="1:3">
      <c r="A9" s="4">
        <v>46240</v>
      </c>
      <c r="B9" s="8" t="s">
        <v>10</v>
      </c>
      <c r="C9" s="8">
        <v>6000</v>
      </c>
    </row>
    <row r="10" spans="1:3">
      <c r="A10" s="4">
        <v>46241</v>
      </c>
      <c r="B10" s="8" t="s">
        <v>11</v>
      </c>
      <c r="C10" s="8">
        <v>1200</v>
      </c>
    </row>
    <row r="11" spans="1:3">
      <c r="A11" s="11"/>
      <c r="B11" s="55"/>
      <c r="C11" s="55"/>
    </row>
    <row r="12" spans="1:3">
      <c r="A12" s="11"/>
      <c r="B12" s="2" t="s">
        <v>12</v>
      </c>
      <c r="C12" s="1"/>
    </row>
    <row r="13" spans="1:3">
      <c r="A13" s="13" t="s">
        <v>1</v>
      </c>
      <c r="B13" s="3" t="s">
        <v>2</v>
      </c>
      <c r="C13" s="3" t="s">
        <v>3</v>
      </c>
    </row>
    <row r="14" spans="1:3">
      <c r="A14" s="4">
        <v>46242</v>
      </c>
      <c r="B14" s="8" t="s">
        <v>5</v>
      </c>
      <c r="C14" s="8">
        <v>600</v>
      </c>
    </row>
    <row r="15" spans="1:3">
      <c r="A15" s="4">
        <v>46243</v>
      </c>
      <c r="B15" s="8" t="s">
        <v>6</v>
      </c>
      <c r="C15" s="8">
        <v>800</v>
      </c>
    </row>
    <row r="16" spans="1:3">
      <c r="A16" s="4">
        <v>46244</v>
      </c>
      <c r="B16" s="8" t="s">
        <v>7</v>
      </c>
      <c r="C16" s="8">
        <v>600</v>
      </c>
    </row>
    <row r="17" spans="1:3">
      <c r="A17" s="4">
        <v>46245</v>
      </c>
      <c r="B17" s="16" t="s">
        <v>13</v>
      </c>
      <c r="C17" s="8">
        <v>3000</v>
      </c>
    </row>
    <row r="18" spans="1:3">
      <c r="A18" s="4">
        <v>46246</v>
      </c>
      <c r="B18" s="8" t="s">
        <v>9</v>
      </c>
      <c r="C18" s="8">
        <v>800</v>
      </c>
    </row>
    <row r="19" spans="1:3">
      <c r="A19" s="18" t="s">
        <v>14</v>
      </c>
      <c r="B19" s="8" t="s">
        <v>10</v>
      </c>
      <c r="C19" s="8">
        <v>6000</v>
      </c>
    </row>
    <row r="20" spans="1:3">
      <c r="A20" s="18" t="s">
        <v>15</v>
      </c>
      <c r="B20" s="19" t="s">
        <v>16</v>
      </c>
      <c r="C20" s="8">
        <v>1200</v>
      </c>
    </row>
    <row r="21" spans="1:3" ht="15.75" customHeight="1">
      <c r="A21" s="55"/>
      <c r="B21" s="55"/>
      <c r="C21" s="55"/>
    </row>
    <row r="22" spans="1:3" ht="15.75" customHeight="1">
      <c r="A22" s="1"/>
      <c r="B22" s="2" t="s">
        <v>17</v>
      </c>
      <c r="C22" s="1"/>
    </row>
    <row r="23" spans="1:3" ht="15.75" customHeight="1">
      <c r="A23" s="3" t="s">
        <v>1</v>
      </c>
      <c r="B23" s="3" t="s">
        <v>2</v>
      </c>
      <c r="C23" s="3" t="s">
        <v>3</v>
      </c>
    </row>
    <row r="24" spans="1:3" ht="15.75" customHeight="1">
      <c r="A24" s="22">
        <v>46249</v>
      </c>
      <c r="B24" s="8" t="s">
        <v>5</v>
      </c>
      <c r="C24" s="8">
        <v>600</v>
      </c>
    </row>
    <row r="25" spans="1:3" ht="15.75" customHeight="1">
      <c r="A25" s="22">
        <v>46250</v>
      </c>
      <c r="B25" s="8" t="s">
        <v>6</v>
      </c>
      <c r="C25" s="8">
        <v>800</v>
      </c>
    </row>
    <row r="26" spans="1:3" ht="15.75" customHeight="1">
      <c r="A26" s="22">
        <v>46251</v>
      </c>
      <c r="B26" s="8" t="s">
        <v>7</v>
      </c>
      <c r="C26" s="8">
        <v>600</v>
      </c>
    </row>
    <row r="27" spans="1:3" ht="15.75" customHeight="1">
      <c r="A27" s="22">
        <v>46252</v>
      </c>
      <c r="B27" s="16" t="s">
        <v>18</v>
      </c>
      <c r="C27" s="8">
        <v>400</v>
      </c>
    </row>
    <row r="28" spans="1:3" ht="15.75" customHeight="1">
      <c r="A28" s="22">
        <v>46253</v>
      </c>
      <c r="B28" s="8" t="s">
        <v>9</v>
      </c>
      <c r="C28" s="8">
        <v>800</v>
      </c>
    </row>
    <row r="29" spans="1:3" ht="15.75" customHeight="1">
      <c r="A29" s="23" t="s">
        <v>19</v>
      </c>
      <c r="B29" s="8" t="s">
        <v>10</v>
      </c>
      <c r="C29" s="8">
        <v>6000</v>
      </c>
    </row>
    <row r="30" spans="1:3" ht="15.75" customHeight="1">
      <c r="A30" s="23" t="s">
        <v>20</v>
      </c>
      <c r="B30" s="19" t="s">
        <v>21</v>
      </c>
      <c r="C30" s="8">
        <v>1000</v>
      </c>
    </row>
    <row r="31" spans="1:3" ht="15.75" customHeight="1">
      <c r="A31" s="55"/>
      <c r="B31" s="55"/>
      <c r="C31" s="55"/>
    </row>
    <row r="32" spans="1:3" ht="15.75" customHeight="1">
      <c r="A32" s="58"/>
      <c r="B32" s="2" t="s">
        <v>22</v>
      </c>
      <c r="C32" s="58"/>
    </row>
    <row r="33" spans="1:3" ht="15.75" customHeight="1">
      <c r="A33" s="59" t="s">
        <v>1</v>
      </c>
      <c r="B33" s="59" t="s">
        <v>2</v>
      </c>
      <c r="C33" s="59" t="s">
        <v>3</v>
      </c>
    </row>
    <row r="34" spans="1:3" ht="15.75" customHeight="1">
      <c r="A34" s="60" t="s">
        <v>23</v>
      </c>
      <c r="B34" s="60" t="s">
        <v>5</v>
      </c>
      <c r="C34" s="60">
        <v>600</v>
      </c>
    </row>
    <row r="35" spans="1:3" ht="15.75" customHeight="1">
      <c r="A35" s="60" t="s">
        <v>24</v>
      </c>
      <c r="B35" s="60" t="s">
        <v>6</v>
      </c>
      <c r="C35" s="60">
        <v>800</v>
      </c>
    </row>
    <row r="36" spans="1:3" ht="15.75" customHeight="1">
      <c r="A36" s="60" t="s">
        <v>25</v>
      </c>
      <c r="B36" s="60" t="s">
        <v>26</v>
      </c>
      <c r="C36" s="60">
        <v>600</v>
      </c>
    </row>
    <row r="37" spans="1:3" ht="15.75" customHeight="1">
      <c r="A37" s="60" t="s">
        <v>27</v>
      </c>
      <c r="B37" s="60" t="s">
        <v>18</v>
      </c>
      <c r="C37" s="60">
        <v>400</v>
      </c>
    </row>
    <row r="38" spans="1:3" ht="15.75" customHeight="1">
      <c r="A38" s="60" t="s">
        <v>28</v>
      </c>
      <c r="B38" s="60" t="s">
        <v>9</v>
      </c>
      <c r="C38" s="60">
        <v>800</v>
      </c>
    </row>
    <row r="39" spans="1:3" ht="15.75" customHeight="1">
      <c r="A39" s="60" t="s">
        <v>29</v>
      </c>
      <c r="B39" s="60" t="s">
        <v>30</v>
      </c>
      <c r="C39" s="60">
        <v>6000</v>
      </c>
    </row>
    <row r="40" spans="1:3" ht="15.75" customHeight="1">
      <c r="A40" s="60" t="s">
        <v>31</v>
      </c>
      <c r="B40" s="60" t="s">
        <v>32</v>
      </c>
      <c r="C40" s="60">
        <v>3000</v>
      </c>
    </row>
    <row r="41" spans="1:3" ht="15.75" customHeight="1">
      <c r="A41" s="55"/>
      <c r="B41" s="55"/>
      <c r="C41" s="55"/>
    </row>
    <row r="42" spans="1:3" ht="15.75" customHeight="1">
      <c r="A42" s="55"/>
      <c r="B42" s="55"/>
      <c r="C42" s="55"/>
    </row>
    <row r="43" spans="1:3" ht="15.75" customHeight="1">
      <c r="A43" s="55"/>
      <c r="B43" s="55"/>
      <c r="C43" s="55"/>
    </row>
    <row r="44" spans="1:3" ht="15.75" customHeight="1">
      <c r="A44" s="55"/>
      <c r="B44" s="55"/>
      <c r="C44" s="55"/>
    </row>
    <row r="45" spans="1:3" ht="15.75" customHeight="1">
      <c r="A45" s="55"/>
      <c r="B45" s="55"/>
      <c r="C45" s="55"/>
    </row>
    <row r="46" spans="1:3" ht="15.75" customHeight="1">
      <c r="A46" s="55"/>
      <c r="B46" s="55"/>
      <c r="C46" s="55"/>
    </row>
    <row r="47" spans="1:3" ht="15.75" customHeight="1">
      <c r="A47" s="55"/>
      <c r="B47" s="55"/>
      <c r="C47" s="55"/>
    </row>
    <row r="48" spans="1:3" ht="15.75" customHeight="1">
      <c r="A48" s="55"/>
      <c r="B48" s="55"/>
      <c r="C48" s="55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B88" sqref="B88"/>
    </sheetView>
  </sheetViews>
  <sheetFormatPr defaultColWidth="14.42578125" defaultRowHeight="15" customHeight="1"/>
  <cols>
    <col min="1" max="1" width="12.28515625" customWidth="1"/>
    <col min="2" max="2" width="46" customWidth="1"/>
    <col min="3" max="3" width="4.28515625" customWidth="1"/>
    <col min="4" max="4" width="6" customWidth="1"/>
    <col min="5" max="5" width="9.140625" customWidth="1"/>
    <col min="6" max="6" width="10.140625" customWidth="1"/>
    <col min="7" max="26" width="8.7109375" customWidth="1"/>
  </cols>
  <sheetData>
    <row r="1" spans="1:7" ht="18.75" customHeight="1">
      <c r="A1" s="84" t="s">
        <v>33</v>
      </c>
      <c r="B1" s="82"/>
      <c r="C1" s="82"/>
      <c r="D1" s="82"/>
      <c r="E1" s="82"/>
      <c r="F1" s="83"/>
      <c r="G1" s="6"/>
    </row>
    <row r="2" spans="1:7">
      <c r="A2" s="5"/>
      <c r="B2" s="5"/>
      <c r="C2" s="5"/>
      <c r="D2" s="5"/>
      <c r="E2" s="5"/>
      <c r="F2" s="5"/>
      <c r="G2" s="6"/>
    </row>
    <row r="3" spans="1:7">
      <c r="A3" s="10" t="s">
        <v>1</v>
      </c>
      <c r="B3" s="10" t="s">
        <v>2</v>
      </c>
      <c r="C3" s="10"/>
      <c r="D3" s="10" t="s">
        <v>34</v>
      </c>
      <c r="E3" s="10" t="s">
        <v>35</v>
      </c>
      <c r="F3" s="10" t="s">
        <v>36</v>
      </c>
      <c r="G3" s="6"/>
    </row>
    <row r="4" spans="1:7">
      <c r="A4" s="12">
        <v>46235</v>
      </c>
      <c r="B4" s="14" t="s">
        <v>37</v>
      </c>
      <c r="C4" s="14" t="s">
        <v>38</v>
      </c>
      <c r="D4" s="14"/>
      <c r="E4" s="15">
        <v>60000</v>
      </c>
      <c r="F4" s="14"/>
      <c r="G4" s="6"/>
    </row>
    <row r="5" spans="1:7">
      <c r="A5" s="17"/>
      <c r="B5" s="14" t="s">
        <v>39</v>
      </c>
      <c r="C5" s="14"/>
      <c r="D5" s="14"/>
      <c r="E5" s="14"/>
      <c r="F5" s="15">
        <v>60000</v>
      </c>
      <c r="G5" s="6"/>
    </row>
    <row r="6" spans="1:7">
      <c r="A6" s="17"/>
      <c r="B6" s="14" t="s">
        <v>40</v>
      </c>
      <c r="C6" s="14"/>
      <c r="D6" s="14"/>
      <c r="E6" s="14"/>
      <c r="F6" s="14"/>
      <c r="G6" s="6"/>
    </row>
    <row r="7" spans="1:7">
      <c r="A7" s="12">
        <v>46235</v>
      </c>
      <c r="B7" s="14" t="s">
        <v>41</v>
      </c>
      <c r="C7" s="14" t="s">
        <v>38</v>
      </c>
      <c r="D7" s="14"/>
      <c r="E7" s="14">
        <v>600</v>
      </c>
      <c r="F7" s="14"/>
      <c r="G7" s="6"/>
    </row>
    <row r="8" spans="1:7">
      <c r="A8" s="17"/>
      <c r="B8" s="14" t="s">
        <v>42</v>
      </c>
      <c r="C8" s="14"/>
      <c r="D8" s="14"/>
      <c r="E8" s="14"/>
      <c r="F8" s="14">
        <v>600</v>
      </c>
      <c r="G8" s="6"/>
    </row>
    <row r="9" spans="1:7">
      <c r="A9" s="17"/>
      <c r="B9" s="14" t="s">
        <v>43</v>
      </c>
      <c r="C9" s="14"/>
      <c r="D9" s="14"/>
      <c r="E9" s="14"/>
      <c r="F9" s="14"/>
      <c r="G9" s="6"/>
    </row>
    <row r="10" spans="1:7">
      <c r="A10" s="12">
        <v>46236</v>
      </c>
      <c r="B10" s="14" t="s">
        <v>41</v>
      </c>
      <c r="C10" s="14" t="s">
        <v>38</v>
      </c>
      <c r="D10" s="14"/>
      <c r="E10" s="14">
        <v>800</v>
      </c>
      <c r="F10" s="14"/>
      <c r="G10" s="6"/>
    </row>
    <row r="11" spans="1:7">
      <c r="A11" s="17"/>
      <c r="B11" s="14" t="s">
        <v>42</v>
      </c>
      <c r="C11" s="14"/>
      <c r="D11" s="14"/>
      <c r="E11" s="14"/>
      <c r="F11" s="14">
        <v>800</v>
      </c>
      <c r="G11" s="6"/>
    </row>
    <row r="12" spans="1:7">
      <c r="A12" s="17"/>
      <c r="B12" s="14" t="s">
        <v>44</v>
      </c>
      <c r="C12" s="14"/>
      <c r="D12" s="14"/>
      <c r="E12" s="14"/>
      <c r="F12" s="14"/>
      <c r="G12" s="6"/>
    </row>
    <row r="13" spans="1:7">
      <c r="A13" s="12">
        <v>46237</v>
      </c>
      <c r="B13" s="14" t="s">
        <v>45</v>
      </c>
      <c r="C13" s="14" t="s">
        <v>38</v>
      </c>
      <c r="D13" s="14"/>
      <c r="E13" s="14">
        <v>600</v>
      </c>
      <c r="F13" s="14"/>
      <c r="G13" s="6"/>
    </row>
    <row r="14" spans="1:7">
      <c r="A14" s="17"/>
      <c r="B14" s="14" t="s">
        <v>42</v>
      </c>
      <c r="C14" s="14"/>
      <c r="D14" s="14"/>
      <c r="E14" s="14"/>
      <c r="F14" s="14">
        <v>600</v>
      </c>
      <c r="G14" s="6"/>
    </row>
    <row r="15" spans="1:7">
      <c r="A15" s="17"/>
      <c r="B15" s="14" t="s">
        <v>46</v>
      </c>
      <c r="C15" s="14"/>
      <c r="D15" s="14"/>
      <c r="E15" s="14"/>
      <c r="F15" s="14"/>
      <c r="G15" s="6"/>
    </row>
    <row r="16" spans="1:7">
      <c r="A16" s="12">
        <v>46238</v>
      </c>
      <c r="B16" s="14" t="s">
        <v>47</v>
      </c>
      <c r="C16" s="14" t="s">
        <v>38</v>
      </c>
      <c r="D16" s="14"/>
      <c r="E16" s="15">
        <v>6000</v>
      </c>
      <c r="F16" s="14"/>
      <c r="G16" s="6"/>
    </row>
    <row r="17" spans="1:26">
      <c r="A17" s="17"/>
      <c r="B17" s="14" t="s">
        <v>42</v>
      </c>
      <c r="C17" s="14"/>
      <c r="D17" s="14"/>
      <c r="E17" s="14"/>
      <c r="F17" s="15">
        <v>6000</v>
      </c>
      <c r="G17" s="6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spans="1:26">
      <c r="A18" s="17"/>
      <c r="B18" s="14" t="s">
        <v>48</v>
      </c>
      <c r="C18" s="14"/>
      <c r="D18" s="14"/>
      <c r="E18" s="14"/>
      <c r="F18" s="14"/>
      <c r="G18" s="6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spans="1:26">
      <c r="A19" s="12">
        <v>46239</v>
      </c>
      <c r="B19" s="14" t="s">
        <v>41</v>
      </c>
      <c r="C19" s="14" t="s">
        <v>38</v>
      </c>
      <c r="D19" s="14"/>
      <c r="E19" s="14">
        <v>800</v>
      </c>
      <c r="F19" s="14"/>
      <c r="G19" s="6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spans="1:26">
      <c r="A20" s="17"/>
      <c r="B20" s="14" t="s">
        <v>42</v>
      </c>
      <c r="C20" s="14"/>
      <c r="D20" s="14"/>
      <c r="E20" s="14"/>
      <c r="F20" s="14">
        <v>800</v>
      </c>
      <c r="G20" s="6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spans="1:26" ht="15.75" customHeight="1">
      <c r="A21" s="17"/>
      <c r="B21" s="14" t="s">
        <v>49</v>
      </c>
      <c r="C21" s="14"/>
      <c r="D21" s="14"/>
      <c r="E21" s="14"/>
      <c r="F21" s="14"/>
      <c r="G21" s="6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 ht="15.75" customHeight="1">
      <c r="A22" s="12">
        <v>46240</v>
      </c>
      <c r="B22" s="14" t="s">
        <v>37</v>
      </c>
      <c r="C22" s="14" t="s">
        <v>38</v>
      </c>
      <c r="D22" s="14"/>
      <c r="E22" s="15">
        <v>6000</v>
      </c>
      <c r="F22" s="14"/>
      <c r="G22" s="6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 ht="15.75" customHeight="1">
      <c r="A23" s="17"/>
      <c r="B23" s="14" t="s">
        <v>50</v>
      </c>
      <c r="C23" s="14"/>
      <c r="D23" s="14"/>
      <c r="E23" s="14"/>
      <c r="F23" s="15">
        <v>6000</v>
      </c>
      <c r="G23" s="6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 ht="15.75" customHeight="1">
      <c r="A24" s="17"/>
      <c r="B24" s="14" t="s">
        <v>51</v>
      </c>
      <c r="C24" s="14"/>
      <c r="D24" s="14"/>
      <c r="E24" s="14"/>
      <c r="F24" s="14"/>
      <c r="G24" s="6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spans="1:26" ht="15.75" customHeight="1">
      <c r="A25" s="12">
        <v>46241</v>
      </c>
      <c r="B25" s="14" t="s">
        <v>52</v>
      </c>
      <c r="C25" s="14" t="s">
        <v>38</v>
      </c>
      <c r="D25" s="29"/>
      <c r="E25" s="30">
        <v>1200</v>
      </c>
      <c r="F25" s="29"/>
      <c r="G25" s="6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spans="1:26" ht="15.75" customHeight="1">
      <c r="A26" s="33"/>
      <c r="B26" s="29" t="s">
        <v>42</v>
      </c>
      <c r="C26" s="34"/>
      <c r="D26" s="14"/>
      <c r="E26" s="14"/>
      <c r="F26" s="15">
        <v>1200</v>
      </c>
      <c r="G26" s="6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spans="1:26" ht="15.75" customHeight="1">
      <c r="A27" s="17"/>
      <c r="B27" s="14" t="s">
        <v>53</v>
      </c>
      <c r="C27" s="35"/>
      <c r="D27" s="36"/>
      <c r="E27" s="14"/>
      <c r="F27" s="14"/>
      <c r="G27" s="6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spans="1:26" ht="17.25" customHeight="1">
      <c r="A28" s="31">
        <v>46242</v>
      </c>
      <c r="B28" s="32" t="s">
        <v>54</v>
      </c>
      <c r="C28" s="39" t="s">
        <v>38</v>
      </c>
      <c r="D28" s="8"/>
      <c r="E28" s="51">
        <v>600</v>
      </c>
      <c r="F28" s="40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7.25" customHeight="1">
      <c r="A29" s="27"/>
      <c r="B29" s="32" t="s">
        <v>42</v>
      </c>
      <c r="C29" s="41"/>
      <c r="D29" s="8"/>
      <c r="E29" s="40"/>
      <c r="F29" s="42" t="s">
        <v>55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7.25" customHeight="1">
      <c r="A30" s="27"/>
      <c r="B30" s="32" t="s">
        <v>56</v>
      </c>
      <c r="C30" s="41"/>
      <c r="D30" s="8"/>
      <c r="E30" s="40"/>
      <c r="F30" s="40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7.25" customHeight="1">
      <c r="A31" s="31">
        <v>46243</v>
      </c>
      <c r="B31" s="32" t="s">
        <v>54</v>
      </c>
      <c r="C31" s="39" t="s">
        <v>38</v>
      </c>
      <c r="D31" s="8"/>
      <c r="E31" s="51">
        <v>800</v>
      </c>
      <c r="F31" s="40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7.25" customHeight="1">
      <c r="A32" s="27"/>
      <c r="B32" s="32" t="s">
        <v>42</v>
      </c>
      <c r="C32" s="41"/>
      <c r="D32" s="8"/>
      <c r="E32" s="40"/>
      <c r="F32" s="42" t="s">
        <v>57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7.25" customHeight="1">
      <c r="A33" s="27"/>
      <c r="B33" s="32" t="s">
        <v>44</v>
      </c>
      <c r="C33" s="41"/>
      <c r="D33" s="8"/>
      <c r="E33" s="40"/>
      <c r="F33" s="40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7.25" customHeight="1">
      <c r="A34" s="31">
        <v>46244</v>
      </c>
      <c r="B34" s="32" t="s">
        <v>58</v>
      </c>
      <c r="C34" s="39" t="s">
        <v>38</v>
      </c>
      <c r="D34" s="8"/>
      <c r="E34" s="51">
        <v>600</v>
      </c>
      <c r="F34" s="40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7.25" customHeight="1">
      <c r="A35" s="27"/>
      <c r="B35" s="32" t="s">
        <v>42</v>
      </c>
      <c r="C35" s="41"/>
      <c r="D35" s="8"/>
      <c r="E35" s="40"/>
      <c r="F35" s="42" t="s">
        <v>55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7.25" customHeight="1">
      <c r="A36" s="27"/>
      <c r="B36" s="32" t="s">
        <v>46</v>
      </c>
      <c r="C36" s="41"/>
      <c r="D36" s="8"/>
      <c r="E36" s="40"/>
      <c r="F36" s="40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7.25" customHeight="1">
      <c r="A37" s="31">
        <v>46245</v>
      </c>
      <c r="B37" s="32" t="s">
        <v>59</v>
      </c>
      <c r="C37" s="39" t="s">
        <v>38</v>
      </c>
      <c r="D37" s="8"/>
      <c r="E37" s="67">
        <v>3000</v>
      </c>
      <c r="F37" s="40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7.25" customHeight="1">
      <c r="A38" s="27"/>
      <c r="B38" s="32" t="s">
        <v>60</v>
      </c>
      <c r="C38" s="41"/>
      <c r="D38" s="8"/>
      <c r="E38" s="40"/>
      <c r="F38" s="42" t="s">
        <v>61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7.25" customHeight="1">
      <c r="A39" s="27"/>
      <c r="B39" s="32" t="s">
        <v>62</v>
      </c>
      <c r="C39" s="41"/>
      <c r="D39" s="8"/>
      <c r="E39" s="40"/>
      <c r="F39" s="40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7.25" customHeight="1">
      <c r="A40" s="31">
        <v>46246</v>
      </c>
      <c r="B40" s="32" t="s">
        <v>54</v>
      </c>
      <c r="C40" s="39" t="s">
        <v>38</v>
      </c>
      <c r="D40" s="8"/>
      <c r="E40" s="51">
        <v>800</v>
      </c>
      <c r="F40" s="40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7.25" customHeight="1">
      <c r="A41" s="27"/>
      <c r="B41" s="32" t="s">
        <v>42</v>
      </c>
      <c r="C41" s="41"/>
      <c r="D41" s="8"/>
      <c r="E41" s="40"/>
      <c r="F41" s="42" t="s">
        <v>57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7.25" customHeight="1">
      <c r="A42" s="27"/>
      <c r="B42" s="32" t="s">
        <v>49</v>
      </c>
      <c r="C42" s="41"/>
      <c r="D42" s="8"/>
      <c r="E42" s="40"/>
      <c r="F42" s="40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7.25" customHeight="1">
      <c r="A43" s="31">
        <v>46247</v>
      </c>
      <c r="B43" s="32" t="s">
        <v>59</v>
      </c>
      <c r="C43" s="39" t="s">
        <v>38</v>
      </c>
      <c r="D43" s="8"/>
      <c r="E43" s="67">
        <v>6000</v>
      </c>
      <c r="F43" s="40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7.25" customHeight="1">
      <c r="A44" s="27"/>
      <c r="B44" s="32" t="s">
        <v>50</v>
      </c>
      <c r="C44" s="41"/>
      <c r="D44" s="8"/>
      <c r="E44" s="40"/>
      <c r="F44" s="42" t="s">
        <v>63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7.25" customHeight="1">
      <c r="A45" s="27"/>
      <c r="B45" s="32" t="s">
        <v>51</v>
      </c>
      <c r="C45" s="41"/>
      <c r="D45" s="8"/>
      <c r="E45" s="40"/>
      <c r="F45" s="40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7.25" customHeight="1">
      <c r="A46" s="31">
        <v>46248</v>
      </c>
      <c r="B46" s="32" t="s">
        <v>64</v>
      </c>
      <c r="C46" s="39" t="s">
        <v>38</v>
      </c>
      <c r="D46" s="8"/>
      <c r="E46" s="67">
        <v>1200</v>
      </c>
      <c r="F46" s="40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7.25" customHeight="1">
      <c r="A47" s="27"/>
      <c r="B47" s="32" t="s">
        <v>42</v>
      </c>
      <c r="C47" s="41"/>
      <c r="D47" s="8"/>
      <c r="E47" s="66"/>
      <c r="F47" s="48" t="s">
        <v>65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56"/>
      <c r="B48" s="38" t="s">
        <v>66</v>
      </c>
      <c r="C48" s="49"/>
      <c r="D48" s="49"/>
      <c r="E48" s="68"/>
      <c r="F48" s="40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6" ht="15.75" customHeight="1">
      <c r="A49" s="31">
        <v>46249</v>
      </c>
      <c r="B49" s="32" t="s">
        <v>54</v>
      </c>
      <c r="C49" s="8" t="s">
        <v>38</v>
      </c>
      <c r="D49" s="8"/>
      <c r="E49" s="69">
        <v>600</v>
      </c>
      <c r="F49" s="50"/>
    </row>
    <row r="50" spans="1:6" ht="15.75" customHeight="1">
      <c r="A50" s="27"/>
      <c r="B50" s="32" t="s">
        <v>42</v>
      </c>
      <c r="C50" s="8"/>
      <c r="D50" s="8"/>
      <c r="E50" s="70"/>
      <c r="F50" s="51" t="s">
        <v>55</v>
      </c>
    </row>
    <row r="51" spans="1:6" ht="15.75" customHeight="1">
      <c r="A51" s="27"/>
      <c r="B51" s="32" t="s">
        <v>56</v>
      </c>
      <c r="C51" s="8"/>
      <c r="D51" s="8"/>
      <c r="E51" s="70"/>
      <c r="F51" s="40"/>
    </row>
    <row r="52" spans="1:6" ht="15.75" customHeight="1">
      <c r="A52" s="31">
        <v>46250</v>
      </c>
      <c r="B52" s="32" t="s">
        <v>54</v>
      </c>
      <c r="C52" s="8" t="s">
        <v>38</v>
      </c>
      <c r="D52" s="8"/>
      <c r="E52" s="69">
        <v>800</v>
      </c>
      <c r="F52" s="40"/>
    </row>
    <row r="53" spans="1:6" ht="15.75" customHeight="1">
      <c r="A53" s="27"/>
      <c r="B53" s="32" t="s">
        <v>42</v>
      </c>
      <c r="C53" s="8"/>
      <c r="D53" s="8"/>
      <c r="E53" s="70"/>
      <c r="F53" s="51" t="s">
        <v>57</v>
      </c>
    </row>
    <row r="54" spans="1:6" ht="15.75" customHeight="1">
      <c r="A54" s="27"/>
      <c r="B54" s="32" t="s">
        <v>67</v>
      </c>
      <c r="C54" s="8"/>
      <c r="D54" s="8"/>
      <c r="E54" s="70"/>
      <c r="F54" s="40"/>
    </row>
    <row r="55" spans="1:6" ht="15.75" customHeight="1">
      <c r="A55" s="31">
        <v>46251</v>
      </c>
      <c r="B55" s="32" t="s">
        <v>45</v>
      </c>
      <c r="C55" s="8" t="s">
        <v>38</v>
      </c>
      <c r="D55" s="8"/>
      <c r="E55" s="69">
        <v>600</v>
      </c>
      <c r="F55" s="40"/>
    </row>
    <row r="56" spans="1:6" ht="15.75" customHeight="1">
      <c r="A56" s="27"/>
      <c r="B56" s="32" t="s">
        <v>42</v>
      </c>
      <c r="C56" s="8"/>
      <c r="D56" s="8"/>
      <c r="E56" s="70"/>
      <c r="F56" s="51" t="s">
        <v>55</v>
      </c>
    </row>
    <row r="57" spans="1:6" ht="15.75" customHeight="1">
      <c r="A57" s="27"/>
      <c r="B57" s="32" t="s">
        <v>68</v>
      </c>
      <c r="C57" s="8"/>
      <c r="D57" s="8"/>
      <c r="E57" s="70"/>
      <c r="F57" s="40"/>
    </row>
    <row r="58" spans="1:6" ht="15.75" customHeight="1">
      <c r="A58" s="31">
        <v>46252</v>
      </c>
      <c r="B58" s="32" t="s">
        <v>69</v>
      </c>
      <c r="C58" s="8" t="s">
        <v>38</v>
      </c>
      <c r="D58" s="8"/>
      <c r="E58" s="69">
        <v>400</v>
      </c>
      <c r="F58" s="40"/>
    </row>
    <row r="59" spans="1:6" ht="15.75" customHeight="1">
      <c r="A59" s="27"/>
      <c r="B59" s="32" t="s">
        <v>42</v>
      </c>
      <c r="C59" s="8"/>
      <c r="D59" s="8"/>
      <c r="E59" s="70"/>
      <c r="F59" s="51" t="s">
        <v>70</v>
      </c>
    </row>
    <row r="60" spans="1:6" ht="15.75" customHeight="1">
      <c r="A60" s="27"/>
      <c r="B60" s="32" t="s">
        <v>71</v>
      </c>
      <c r="C60" s="8"/>
      <c r="D60" s="8"/>
      <c r="E60" s="70"/>
      <c r="F60" s="40"/>
    </row>
    <row r="61" spans="1:6" ht="15.75" customHeight="1">
      <c r="A61" s="31">
        <v>46253</v>
      </c>
      <c r="B61" s="32" t="s">
        <v>54</v>
      </c>
      <c r="C61" s="8" t="s">
        <v>38</v>
      </c>
      <c r="D61" s="8"/>
      <c r="E61" s="69">
        <v>800</v>
      </c>
      <c r="F61" s="40"/>
    </row>
    <row r="62" spans="1:6" ht="15.75" customHeight="1">
      <c r="A62" s="27"/>
      <c r="B62" s="32" t="s">
        <v>42</v>
      </c>
      <c r="C62" s="8"/>
      <c r="D62" s="8"/>
      <c r="E62" s="70"/>
      <c r="F62" s="51" t="s">
        <v>57</v>
      </c>
    </row>
    <row r="63" spans="1:6" ht="15.75" customHeight="1">
      <c r="A63" s="27"/>
      <c r="B63" s="32" t="s">
        <v>72</v>
      </c>
      <c r="C63" s="8"/>
      <c r="D63" s="8"/>
      <c r="E63" s="70"/>
      <c r="F63" s="40"/>
    </row>
    <row r="64" spans="1:6" ht="15.75" customHeight="1">
      <c r="A64" s="31">
        <v>46254</v>
      </c>
      <c r="B64" s="32" t="s">
        <v>37</v>
      </c>
      <c r="C64" s="8" t="s">
        <v>38</v>
      </c>
      <c r="D64" s="8"/>
      <c r="E64" s="71">
        <v>6000</v>
      </c>
      <c r="F64" s="40"/>
    </row>
    <row r="65" spans="1:6" ht="15.75" customHeight="1">
      <c r="A65" s="27"/>
      <c r="B65" s="32" t="s">
        <v>73</v>
      </c>
      <c r="C65" s="8"/>
      <c r="D65" s="8"/>
      <c r="E65" s="70"/>
      <c r="F65" s="51" t="s">
        <v>63</v>
      </c>
    </row>
    <row r="66" spans="1:6" ht="15.75" customHeight="1">
      <c r="A66" s="27"/>
      <c r="B66" s="32" t="s">
        <v>74</v>
      </c>
      <c r="C66" s="8"/>
      <c r="D66" s="8"/>
      <c r="E66" s="70"/>
      <c r="F66" s="40"/>
    </row>
    <row r="67" spans="1:6" ht="15.75" customHeight="1">
      <c r="A67" s="31">
        <v>46255</v>
      </c>
      <c r="B67" s="32" t="s">
        <v>75</v>
      </c>
      <c r="C67" s="8" t="s">
        <v>38</v>
      </c>
      <c r="D67" s="8"/>
      <c r="E67" s="71">
        <v>1000</v>
      </c>
      <c r="F67" s="40"/>
    </row>
    <row r="68" spans="1:6" ht="15.75" customHeight="1">
      <c r="A68" s="27"/>
      <c r="B68" s="32" t="s">
        <v>42</v>
      </c>
      <c r="C68" s="8"/>
      <c r="D68" s="8"/>
      <c r="E68" s="70"/>
      <c r="F68" s="51" t="s">
        <v>76</v>
      </c>
    </row>
    <row r="69" spans="1:6" ht="15.75" customHeight="1">
      <c r="A69" s="56"/>
      <c r="B69" s="38" t="s">
        <v>77</v>
      </c>
      <c r="C69" s="47"/>
      <c r="D69" s="47"/>
      <c r="E69" s="68"/>
      <c r="F69" s="66"/>
    </row>
    <row r="70" spans="1:6" ht="15.75" customHeight="1">
      <c r="A70" s="61" t="s">
        <v>23</v>
      </c>
      <c r="B70" s="32" t="s">
        <v>54</v>
      </c>
      <c r="C70" s="65" t="s">
        <v>38</v>
      </c>
      <c r="D70" s="57"/>
      <c r="E70" s="63">
        <v>600</v>
      </c>
      <c r="F70" s="64"/>
    </row>
    <row r="71" spans="1:6" ht="15.75" customHeight="1">
      <c r="A71" s="61"/>
      <c r="B71" s="62" t="s">
        <v>42</v>
      </c>
      <c r="C71" s="65"/>
      <c r="D71" s="57"/>
      <c r="E71" s="64"/>
      <c r="F71" s="63">
        <v>600</v>
      </c>
    </row>
    <row r="72" spans="1:6" ht="15.75" customHeight="1">
      <c r="A72" s="65"/>
      <c r="B72" s="62" t="s">
        <v>56</v>
      </c>
      <c r="C72" s="65"/>
      <c r="D72" s="57"/>
      <c r="E72" s="64"/>
      <c r="F72" s="65"/>
    </row>
    <row r="73" spans="1:6" ht="15.75" customHeight="1">
      <c r="A73" s="61" t="s">
        <v>24</v>
      </c>
      <c r="B73" s="32" t="s">
        <v>54</v>
      </c>
      <c r="C73" s="65" t="s">
        <v>38</v>
      </c>
      <c r="D73" s="57"/>
      <c r="E73" s="63">
        <v>800</v>
      </c>
      <c r="F73" s="64"/>
    </row>
    <row r="74" spans="1:6" ht="15.75" customHeight="1">
      <c r="A74" s="61"/>
      <c r="B74" s="62" t="s">
        <v>42</v>
      </c>
      <c r="C74" s="65"/>
      <c r="D74" s="57"/>
      <c r="E74" s="64"/>
      <c r="F74" s="63">
        <v>800</v>
      </c>
    </row>
    <row r="75" spans="1:6" ht="15.75" customHeight="1">
      <c r="A75" s="65"/>
      <c r="B75" s="62" t="s">
        <v>78</v>
      </c>
      <c r="C75" s="65"/>
      <c r="D75" s="57"/>
      <c r="E75" s="64"/>
      <c r="F75" s="65"/>
    </row>
    <row r="76" spans="1:6" ht="15.75" customHeight="1">
      <c r="A76" s="61" t="s">
        <v>25</v>
      </c>
      <c r="B76" s="62" t="s">
        <v>79</v>
      </c>
      <c r="C76" s="65" t="s">
        <v>38</v>
      </c>
      <c r="D76" s="57"/>
      <c r="E76" s="63">
        <v>600</v>
      </c>
      <c r="F76" s="64"/>
    </row>
    <row r="77" spans="1:6" ht="15.75" customHeight="1">
      <c r="A77" s="61"/>
      <c r="B77" s="62" t="s">
        <v>42</v>
      </c>
      <c r="C77" s="65"/>
      <c r="D77" s="57"/>
      <c r="E77" s="64"/>
      <c r="F77" s="63">
        <v>600</v>
      </c>
    </row>
    <row r="78" spans="1:6" ht="15.75" customHeight="1">
      <c r="A78" s="65"/>
      <c r="B78" s="62" t="s">
        <v>46</v>
      </c>
      <c r="C78" s="65"/>
      <c r="D78" s="57"/>
      <c r="E78" s="64"/>
      <c r="F78" s="65"/>
    </row>
    <row r="79" spans="1:6" ht="15.75" customHeight="1">
      <c r="A79" s="61" t="s">
        <v>27</v>
      </c>
      <c r="B79" s="62" t="s">
        <v>69</v>
      </c>
      <c r="C79" s="65" t="s">
        <v>38</v>
      </c>
      <c r="D79" s="57"/>
      <c r="E79" s="63">
        <v>400</v>
      </c>
      <c r="F79" s="64"/>
    </row>
    <row r="80" spans="1:6" ht="15.75" customHeight="1">
      <c r="A80" s="61"/>
      <c r="B80" s="62" t="s">
        <v>42</v>
      </c>
      <c r="C80" s="65"/>
      <c r="D80" s="57"/>
      <c r="E80" s="64"/>
      <c r="F80" s="63">
        <v>400</v>
      </c>
    </row>
    <row r="81" spans="1:6" ht="15.75" customHeight="1">
      <c r="A81" s="65"/>
      <c r="B81" s="62" t="s">
        <v>80</v>
      </c>
      <c r="C81" s="65"/>
      <c r="D81" s="57"/>
      <c r="E81" s="64"/>
      <c r="F81" s="65"/>
    </row>
    <row r="82" spans="1:6" ht="15.75" customHeight="1">
      <c r="A82" s="61" t="s">
        <v>28</v>
      </c>
      <c r="B82" s="62" t="s">
        <v>41</v>
      </c>
      <c r="C82" s="65" t="s">
        <v>38</v>
      </c>
      <c r="D82" s="57"/>
      <c r="E82" s="63">
        <v>800</v>
      </c>
      <c r="F82" s="64"/>
    </row>
    <row r="83" spans="1:6" ht="15.75" customHeight="1">
      <c r="A83" s="61"/>
      <c r="B83" s="62" t="s">
        <v>42</v>
      </c>
      <c r="C83" s="65"/>
      <c r="D83" s="57"/>
      <c r="E83" s="64"/>
      <c r="F83" s="63">
        <v>800</v>
      </c>
    </row>
    <row r="84" spans="1:6" ht="15.75" customHeight="1">
      <c r="A84" s="65"/>
      <c r="B84" s="62" t="s">
        <v>49</v>
      </c>
      <c r="C84" s="65"/>
      <c r="D84" s="57"/>
      <c r="E84" s="64"/>
      <c r="F84" s="65"/>
    </row>
    <row r="85" spans="1:6" ht="15.75" customHeight="1">
      <c r="A85" s="61" t="s">
        <v>29</v>
      </c>
      <c r="B85" s="62" t="s">
        <v>37</v>
      </c>
      <c r="C85" s="65" t="s">
        <v>38</v>
      </c>
      <c r="D85" s="57"/>
      <c r="E85" s="63">
        <v>6000</v>
      </c>
      <c r="F85" s="64"/>
    </row>
    <row r="86" spans="1:6" ht="15.75" customHeight="1">
      <c r="A86" s="61"/>
      <c r="B86" s="62" t="s">
        <v>50</v>
      </c>
      <c r="C86" s="65"/>
      <c r="D86" s="57"/>
      <c r="E86" s="64"/>
      <c r="F86" s="63">
        <v>6000</v>
      </c>
    </row>
    <row r="87" spans="1:6" ht="15.75" customHeight="1">
      <c r="A87" s="65"/>
      <c r="B87" s="62" t="s">
        <v>74</v>
      </c>
      <c r="C87" s="65"/>
      <c r="D87" s="57"/>
      <c r="E87" s="64"/>
      <c r="F87" s="65"/>
    </row>
    <row r="88" spans="1:6" ht="15.75" customHeight="1">
      <c r="A88" s="61" t="s">
        <v>31</v>
      </c>
      <c r="B88" s="62" t="s">
        <v>81</v>
      </c>
      <c r="C88" s="65" t="s">
        <v>38</v>
      </c>
      <c r="D88" s="57"/>
      <c r="E88" s="63">
        <v>3000</v>
      </c>
      <c r="F88" s="64"/>
    </row>
    <row r="89" spans="1:6" ht="15.75" customHeight="1">
      <c r="A89" s="61"/>
      <c r="B89" s="62" t="s">
        <v>42</v>
      </c>
      <c r="C89" s="65"/>
      <c r="D89" s="57"/>
      <c r="E89" s="64"/>
      <c r="F89" s="63">
        <v>3000</v>
      </c>
    </row>
    <row r="90" spans="1:6" ht="15.75" customHeight="1">
      <c r="A90" s="65"/>
      <c r="B90" s="62" t="s">
        <v>82</v>
      </c>
      <c r="C90" s="65"/>
      <c r="D90" s="57"/>
      <c r="E90" s="64"/>
      <c r="F90" s="65"/>
    </row>
    <row r="91" spans="1:6" ht="15.75" customHeight="1">
      <c r="A91" s="55"/>
      <c r="B91" s="55"/>
      <c r="C91" s="55"/>
      <c r="D91" s="55"/>
      <c r="E91" s="55"/>
      <c r="F91" s="55"/>
    </row>
    <row r="92" spans="1:6" ht="15.75" customHeight="1">
      <c r="A92" s="55"/>
      <c r="B92" s="55"/>
      <c r="C92" s="55"/>
      <c r="D92" s="55"/>
      <c r="E92" s="55"/>
      <c r="F92" s="55"/>
    </row>
    <row r="93" spans="1:6" ht="15.75" customHeight="1">
      <c r="A93" s="55"/>
      <c r="B93" s="55"/>
      <c r="C93" s="55"/>
      <c r="D93" s="55"/>
      <c r="E93" s="55"/>
      <c r="F93" s="55"/>
    </row>
    <row r="94" spans="1:6" ht="15.75" customHeight="1">
      <c r="A94" s="55"/>
      <c r="B94" s="55"/>
      <c r="C94" s="55"/>
      <c r="D94" s="55"/>
      <c r="E94" s="55"/>
      <c r="F94" s="55"/>
    </row>
    <row r="95" spans="1:6" ht="15.75" customHeight="1">
      <c r="A95" s="55"/>
      <c r="B95" s="55"/>
      <c r="C95" s="55"/>
      <c r="D95" s="55"/>
      <c r="E95" s="55"/>
      <c r="F95" s="55"/>
    </row>
    <row r="96" spans="1:6" ht="15.75" customHeight="1">
      <c r="A96" s="55"/>
      <c r="B96" s="55"/>
      <c r="C96" s="55"/>
      <c r="D96" s="55"/>
      <c r="E96" s="55"/>
      <c r="F96" s="55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14"/>
  <sheetViews>
    <sheetView workbookViewId="0">
      <selection activeCell="H126" sqref="H126"/>
    </sheetView>
  </sheetViews>
  <sheetFormatPr defaultColWidth="14.42578125" defaultRowHeight="15" customHeight="1"/>
  <cols>
    <col min="1" max="5" width="22.7109375" customWidth="1"/>
    <col min="6" max="6" width="30.140625" customWidth="1"/>
    <col min="7" max="8" width="22.7109375" customWidth="1"/>
    <col min="9" max="26" width="8.7109375" customWidth="1"/>
  </cols>
  <sheetData>
    <row r="1" spans="1:8" ht="20.25" customHeight="1">
      <c r="A1" s="78" t="s">
        <v>83</v>
      </c>
      <c r="B1" s="79"/>
      <c r="C1" s="79"/>
      <c r="D1" s="79"/>
      <c r="E1" s="79"/>
      <c r="F1" s="79"/>
      <c r="G1" s="79"/>
      <c r="H1" s="80"/>
    </row>
    <row r="2" spans="1:8">
      <c r="A2" s="5"/>
      <c r="B2" s="5"/>
      <c r="C2" s="5"/>
      <c r="D2" s="5"/>
      <c r="E2" s="5"/>
      <c r="F2" s="5"/>
      <c r="G2" s="5"/>
      <c r="H2" s="5"/>
    </row>
    <row r="3" spans="1:8">
      <c r="A3" s="9" t="s">
        <v>38</v>
      </c>
      <c r="B3" s="9"/>
      <c r="C3" s="81" t="s">
        <v>84</v>
      </c>
      <c r="D3" s="82"/>
      <c r="E3" s="82"/>
      <c r="F3" s="83"/>
      <c r="G3" s="9"/>
      <c r="H3" s="9" t="s">
        <v>85</v>
      </c>
    </row>
    <row r="4" spans="1:8">
      <c r="A4" s="10" t="s">
        <v>1</v>
      </c>
      <c r="B4" s="10" t="s">
        <v>2</v>
      </c>
      <c r="C4" s="10" t="s">
        <v>86</v>
      </c>
      <c r="D4" s="10" t="s">
        <v>87</v>
      </c>
      <c r="E4" s="10" t="s">
        <v>1</v>
      </c>
      <c r="F4" s="10" t="s">
        <v>2</v>
      </c>
      <c r="G4" s="10" t="s">
        <v>86</v>
      </c>
      <c r="H4" s="10" t="s">
        <v>87</v>
      </c>
    </row>
    <row r="5" spans="1:8">
      <c r="A5" s="17"/>
      <c r="B5" s="14"/>
      <c r="C5" s="14"/>
      <c r="D5" s="14"/>
      <c r="E5" s="17">
        <v>46030</v>
      </c>
      <c r="F5" s="14" t="s">
        <v>88</v>
      </c>
      <c r="G5" s="14"/>
      <c r="H5" s="20">
        <v>60000</v>
      </c>
    </row>
    <row r="6" spans="1:8">
      <c r="A6" s="21">
        <v>46247</v>
      </c>
      <c r="B6" s="14" t="s">
        <v>89</v>
      </c>
      <c r="C6" s="14"/>
      <c r="D6" s="15">
        <v>60000</v>
      </c>
      <c r="E6" s="17"/>
      <c r="F6" s="14"/>
      <c r="G6" s="14"/>
      <c r="H6" s="14"/>
    </row>
    <row r="7" spans="1:8">
      <c r="A7" s="17"/>
      <c r="B7" s="14"/>
      <c r="C7" s="14"/>
      <c r="D7" s="15">
        <v>60000</v>
      </c>
      <c r="E7" s="17"/>
      <c r="F7" s="14"/>
      <c r="G7" s="14"/>
      <c r="H7" s="20">
        <v>60000</v>
      </c>
    </row>
    <row r="8" spans="1:8" ht="15" customHeight="1">
      <c r="A8" s="17"/>
      <c r="B8" s="14"/>
      <c r="C8" s="9"/>
      <c r="D8" s="15"/>
      <c r="E8" s="17">
        <v>46031</v>
      </c>
      <c r="F8" s="14" t="s">
        <v>90</v>
      </c>
      <c r="G8" s="9"/>
      <c r="H8" s="15">
        <v>60000</v>
      </c>
    </row>
    <row r="9" spans="1:8" ht="15" customHeight="1">
      <c r="A9" s="24"/>
      <c r="B9" s="25"/>
      <c r="C9" s="25"/>
      <c r="D9" s="26"/>
      <c r="E9" s="5"/>
      <c r="F9" s="5"/>
      <c r="G9" s="25"/>
      <c r="H9" s="25"/>
    </row>
    <row r="10" spans="1:8" ht="15" customHeight="1">
      <c r="A10" s="9" t="s">
        <v>38</v>
      </c>
      <c r="B10" s="9"/>
      <c r="C10" s="81" t="s">
        <v>59</v>
      </c>
      <c r="D10" s="82"/>
      <c r="E10" s="82"/>
      <c r="F10" s="83"/>
      <c r="G10" s="9"/>
      <c r="H10" s="9" t="s">
        <v>85</v>
      </c>
    </row>
    <row r="11" spans="1:8">
      <c r="A11" s="45" t="s">
        <v>1</v>
      </c>
      <c r="B11" s="10" t="s">
        <v>2</v>
      </c>
      <c r="C11" s="10" t="s">
        <v>86</v>
      </c>
      <c r="D11" s="10" t="s">
        <v>87</v>
      </c>
      <c r="E11" s="10" t="s">
        <v>1</v>
      </c>
      <c r="F11" s="10" t="s">
        <v>2</v>
      </c>
      <c r="G11" s="10" t="s">
        <v>86</v>
      </c>
      <c r="H11" s="10" t="s">
        <v>87</v>
      </c>
    </row>
    <row r="12" spans="1:8">
      <c r="A12" s="72">
        <v>46235</v>
      </c>
      <c r="B12" s="73" t="s">
        <v>39</v>
      </c>
      <c r="C12" s="73"/>
      <c r="D12" s="74">
        <v>60000</v>
      </c>
      <c r="E12" s="75">
        <v>46235</v>
      </c>
      <c r="F12" s="73" t="s">
        <v>91</v>
      </c>
      <c r="G12" s="73"/>
      <c r="H12" s="73">
        <v>600</v>
      </c>
    </row>
    <row r="13" spans="1:8">
      <c r="A13" s="17">
        <v>46240</v>
      </c>
      <c r="B13" s="14" t="s">
        <v>50</v>
      </c>
      <c r="C13" s="14"/>
      <c r="D13" s="15">
        <v>6000</v>
      </c>
      <c r="E13" s="27">
        <v>46236</v>
      </c>
      <c r="F13" s="14" t="s">
        <v>91</v>
      </c>
      <c r="G13" s="14"/>
      <c r="H13" s="14">
        <v>800</v>
      </c>
    </row>
    <row r="14" spans="1:8">
      <c r="A14" s="17">
        <v>46334</v>
      </c>
      <c r="B14" s="14" t="s">
        <v>60</v>
      </c>
      <c r="C14" s="14"/>
      <c r="D14" s="15">
        <v>3000</v>
      </c>
      <c r="E14" s="27">
        <v>46237</v>
      </c>
      <c r="F14" s="14" t="s">
        <v>92</v>
      </c>
      <c r="G14" s="14"/>
      <c r="H14" s="14">
        <v>600</v>
      </c>
    </row>
    <row r="15" spans="1:8">
      <c r="A15" s="21">
        <v>46247</v>
      </c>
      <c r="B15" s="14" t="s">
        <v>50</v>
      </c>
      <c r="C15" s="14"/>
      <c r="D15" s="15">
        <v>6000</v>
      </c>
      <c r="E15" s="27">
        <v>46238</v>
      </c>
      <c r="F15" s="14" t="s">
        <v>93</v>
      </c>
      <c r="G15" s="14"/>
      <c r="H15" s="15">
        <v>6000</v>
      </c>
    </row>
    <row r="16" spans="1:8">
      <c r="A16" s="21">
        <v>46254</v>
      </c>
      <c r="B16" s="14" t="s">
        <v>50</v>
      </c>
      <c r="C16" s="14"/>
      <c r="D16" s="28">
        <v>6000</v>
      </c>
      <c r="E16" s="27">
        <v>46239</v>
      </c>
      <c r="F16" s="14" t="s">
        <v>91</v>
      </c>
      <c r="G16" s="14"/>
      <c r="H16" s="14">
        <v>800</v>
      </c>
    </row>
    <row r="17" spans="1:8">
      <c r="A17" s="21" t="s">
        <v>29</v>
      </c>
      <c r="B17" s="14" t="s">
        <v>50</v>
      </c>
      <c r="C17" s="14"/>
      <c r="D17" s="28">
        <v>6000</v>
      </c>
      <c r="E17" s="12">
        <v>46241</v>
      </c>
      <c r="F17" s="14" t="s">
        <v>94</v>
      </c>
      <c r="G17" s="14"/>
      <c r="H17" s="15">
        <v>1200</v>
      </c>
    </row>
    <row r="18" spans="1:8">
      <c r="A18" s="17"/>
      <c r="B18" s="14"/>
      <c r="C18" s="14"/>
      <c r="D18" s="14"/>
      <c r="E18" s="17">
        <v>46242</v>
      </c>
      <c r="F18" s="14" t="s">
        <v>91</v>
      </c>
      <c r="G18" s="14"/>
      <c r="H18" s="14">
        <v>600</v>
      </c>
    </row>
    <row r="19" spans="1:8">
      <c r="A19" s="17"/>
      <c r="B19" s="14"/>
      <c r="C19" s="14"/>
      <c r="D19" s="14"/>
      <c r="E19" s="12">
        <v>46243</v>
      </c>
      <c r="F19" s="14" t="s">
        <v>91</v>
      </c>
      <c r="G19" s="14"/>
      <c r="H19" s="14">
        <v>800</v>
      </c>
    </row>
    <row r="20" spans="1:8">
      <c r="A20" s="17"/>
      <c r="B20" s="14"/>
      <c r="C20" s="14"/>
      <c r="D20" s="14"/>
      <c r="E20" s="12">
        <v>46244</v>
      </c>
      <c r="F20" s="14" t="s">
        <v>92</v>
      </c>
      <c r="G20" s="14"/>
      <c r="H20" s="14">
        <v>600</v>
      </c>
    </row>
    <row r="21" spans="1:8" ht="15.75" customHeight="1">
      <c r="A21" s="17"/>
      <c r="B21" s="14"/>
      <c r="C21" s="14"/>
      <c r="D21" s="14"/>
      <c r="E21" s="12">
        <v>46246</v>
      </c>
      <c r="F21" s="14" t="s">
        <v>91</v>
      </c>
      <c r="G21" s="14"/>
      <c r="H21" s="14">
        <v>800</v>
      </c>
    </row>
    <row r="22" spans="1:8" ht="15.75" customHeight="1">
      <c r="A22" s="17"/>
      <c r="B22" s="14"/>
      <c r="C22" s="14"/>
      <c r="D22" s="14"/>
      <c r="E22" s="21">
        <v>46248</v>
      </c>
      <c r="F22" s="14" t="s">
        <v>95</v>
      </c>
      <c r="G22" s="14"/>
      <c r="H22" s="15">
        <v>1200</v>
      </c>
    </row>
    <row r="23" spans="1:8" ht="15.75" customHeight="1">
      <c r="A23" s="21"/>
      <c r="B23" s="14"/>
      <c r="C23" s="14"/>
      <c r="D23" s="14"/>
      <c r="E23" s="31">
        <v>46249</v>
      </c>
      <c r="F23" s="32" t="s">
        <v>54</v>
      </c>
      <c r="G23" s="14"/>
      <c r="H23" s="15">
        <v>600</v>
      </c>
    </row>
    <row r="24" spans="1:8" ht="15.75" customHeight="1">
      <c r="A24" s="21"/>
      <c r="B24" s="14"/>
      <c r="C24" s="14"/>
      <c r="D24" s="14"/>
      <c r="E24" s="31">
        <v>46250</v>
      </c>
      <c r="F24" s="32" t="s">
        <v>54</v>
      </c>
      <c r="G24" s="29"/>
      <c r="H24" s="30">
        <v>800</v>
      </c>
    </row>
    <row r="25" spans="1:8" ht="15.75" customHeight="1">
      <c r="A25" s="21"/>
      <c r="B25" s="14"/>
      <c r="C25" s="14"/>
      <c r="D25" s="14"/>
      <c r="E25" s="31">
        <v>46251</v>
      </c>
      <c r="F25" s="32" t="s">
        <v>45</v>
      </c>
      <c r="G25" s="29"/>
      <c r="H25" s="30">
        <v>600</v>
      </c>
    </row>
    <row r="26" spans="1:8" ht="15.75" customHeight="1">
      <c r="A26" s="21"/>
      <c r="B26" s="14"/>
      <c r="C26" s="14"/>
      <c r="D26" s="14"/>
      <c r="E26" s="31">
        <v>46252</v>
      </c>
      <c r="F26" s="32" t="s">
        <v>69</v>
      </c>
      <c r="G26" s="29"/>
      <c r="H26" s="30">
        <v>400</v>
      </c>
    </row>
    <row r="27" spans="1:8" ht="15.75" customHeight="1">
      <c r="A27" s="21"/>
      <c r="B27" s="14"/>
      <c r="C27" s="14"/>
      <c r="D27" s="14"/>
      <c r="E27" s="31">
        <v>46253</v>
      </c>
      <c r="F27" s="32" t="s">
        <v>54</v>
      </c>
      <c r="G27" s="29"/>
      <c r="H27" s="30">
        <v>800</v>
      </c>
    </row>
    <row r="28" spans="1:8" ht="15.75" customHeight="1">
      <c r="A28" s="21"/>
      <c r="B28" s="14"/>
      <c r="C28" s="14"/>
      <c r="D28" s="14"/>
      <c r="E28" s="31">
        <v>46255</v>
      </c>
      <c r="F28" s="32" t="s">
        <v>96</v>
      </c>
      <c r="G28" s="29"/>
      <c r="H28" s="30">
        <v>1000</v>
      </c>
    </row>
    <row r="29" spans="1:8" ht="15.75" customHeight="1">
      <c r="A29" s="21"/>
      <c r="B29" s="14"/>
      <c r="C29" s="14"/>
      <c r="D29" s="14"/>
      <c r="E29" s="31" t="s">
        <v>23</v>
      </c>
      <c r="F29" s="32" t="s">
        <v>54</v>
      </c>
      <c r="G29" s="29"/>
      <c r="H29" s="15">
        <v>600</v>
      </c>
    </row>
    <row r="30" spans="1:8" ht="15.75" customHeight="1">
      <c r="A30" s="21"/>
      <c r="B30" s="14"/>
      <c r="C30" s="14"/>
      <c r="D30" s="14"/>
      <c r="E30" s="31" t="s">
        <v>24</v>
      </c>
      <c r="F30" s="32" t="s">
        <v>54</v>
      </c>
      <c r="G30" s="29"/>
      <c r="H30" s="30">
        <v>800</v>
      </c>
    </row>
    <row r="31" spans="1:8" ht="15.75" customHeight="1">
      <c r="A31" s="21"/>
      <c r="B31" s="14"/>
      <c r="C31" s="14"/>
      <c r="D31" s="14"/>
      <c r="E31" s="31" t="s">
        <v>25</v>
      </c>
      <c r="F31" s="32" t="s">
        <v>45</v>
      </c>
      <c r="G31" s="29"/>
      <c r="H31" s="30">
        <v>600</v>
      </c>
    </row>
    <row r="32" spans="1:8" ht="15.75" customHeight="1">
      <c r="A32" s="21"/>
      <c r="B32" s="14"/>
      <c r="C32" s="14"/>
      <c r="D32" s="14"/>
      <c r="E32" s="31" t="s">
        <v>27</v>
      </c>
      <c r="F32" s="32" t="s">
        <v>69</v>
      </c>
      <c r="G32" s="29"/>
      <c r="H32" s="30">
        <v>400</v>
      </c>
    </row>
    <row r="33" spans="1:8" ht="15.75" customHeight="1">
      <c r="A33" s="21"/>
      <c r="B33" s="14"/>
      <c r="C33" s="14"/>
      <c r="D33" s="14"/>
      <c r="E33" s="31" t="s">
        <v>28</v>
      </c>
      <c r="F33" s="32" t="s">
        <v>54</v>
      </c>
      <c r="G33" s="29"/>
      <c r="H33" s="30">
        <v>800</v>
      </c>
    </row>
    <row r="34" spans="1:8" ht="15.75" customHeight="1">
      <c r="A34" s="21"/>
      <c r="B34" s="14"/>
      <c r="C34" s="14"/>
      <c r="D34" s="14"/>
      <c r="E34" s="31" t="s">
        <v>31</v>
      </c>
      <c r="F34" s="32" t="s">
        <v>97</v>
      </c>
      <c r="G34" s="29"/>
      <c r="H34" s="30">
        <v>3000</v>
      </c>
    </row>
    <row r="35" spans="1:8" ht="15.75" customHeight="1">
      <c r="A35" s="21"/>
      <c r="B35" s="14"/>
      <c r="C35" s="14"/>
      <c r="D35" s="14"/>
      <c r="E35" s="31"/>
      <c r="F35" s="32"/>
      <c r="G35" s="29"/>
      <c r="H35" s="30"/>
    </row>
    <row r="36" spans="1:8" ht="15.75" customHeight="1">
      <c r="A36" s="21"/>
      <c r="B36" s="14"/>
      <c r="C36" s="14"/>
      <c r="D36" s="14"/>
      <c r="E36" s="21">
        <v>46265</v>
      </c>
      <c r="F36" s="14" t="s">
        <v>98</v>
      </c>
      <c r="G36" s="29"/>
      <c r="H36" s="30">
        <v>62600</v>
      </c>
    </row>
    <row r="37" spans="1:8" ht="15.75" customHeight="1">
      <c r="A37" s="21"/>
      <c r="B37" s="14"/>
      <c r="C37" s="14"/>
      <c r="D37" s="14"/>
      <c r="E37" s="37"/>
      <c r="F37" s="38"/>
      <c r="G37" s="29"/>
      <c r="H37" s="30"/>
    </row>
    <row r="38" spans="1:8" ht="15.75" customHeight="1">
      <c r="A38" s="17"/>
      <c r="B38" s="14"/>
      <c r="C38" s="14"/>
      <c r="D38" s="15">
        <f>SUM(D12:D17)</f>
        <v>87000</v>
      </c>
      <c r="E38" s="33"/>
      <c r="F38" s="29"/>
      <c r="G38" s="29"/>
      <c r="H38" s="30">
        <f>SUM(H12:H36)</f>
        <v>87000</v>
      </c>
    </row>
    <row r="39" spans="1:8" ht="15.75" customHeight="1">
      <c r="A39" s="17">
        <v>46031</v>
      </c>
      <c r="B39" s="14" t="s">
        <v>99</v>
      </c>
      <c r="C39" s="9"/>
      <c r="D39" s="43">
        <f>87000-24400</f>
        <v>62600</v>
      </c>
      <c r="E39" s="22"/>
      <c r="F39" s="8"/>
      <c r="G39" s="8"/>
      <c r="H39" s="8"/>
    </row>
    <row r="40" spans="1:8" ht="15.75" customHeight="1">
      <c r="A40" s="44"/>
      <c r="B40" s="5"/>
      <c r="C40" s="5"/>
      <c r="D40" s="5"/>
      <c r="E40" s="5"/>
      <c r="F40" s="5"/>
      <c r="G40" s="5"/>
      <c r="H40" s="5"/>
    </row>
    <row r="41" spans="1:8" ht="15.75" customHeight="1">
      <c r="A41" s="44"/>
      <c r="B41" s="5"/>
      <c r="C41" s="5"/>
      <c r="D41" s="5"/>
      <c r="E41" s="5"/>
      <c r="F41" s="5"/>
      <c r="G41" s="5"/>
      <c r="H41" s="5"/>
    </row>
    <row r="42" spans="1:8" ht="15" customHeight="1">
      <c r="A42" s="24" t="s">
        <v>38</v>
      </c>
      <c r="B42" s="25"/>
      <c r="C42" s="76" t="s">
        <v>54</v>
      </c>
      <c r="D42" s="77"/>
      <c r="E42" s="77"/>
      <c r="F42" s="77"/>
      <c r="G42" s="25"/>
      <c r="H42" s="25" t="s">
        <v>85</v>
      </c>
    </row>
    <row r="43" spans="1:8" ht="15.75" customHeight="1">
      <c r="A43" s="45" t="s">
        <v>1</v>
      </c>
      <c r="B43" s="10" t="s">
        <v>2</v>
      </c>
      <c r="C43" s="10" t="s">
        <v>86</v>
      </c>
      <c r="D43" s="10" t="s">
        <v>87</v>
      </c>
      <c r="E43" s="10" t="s">
        <v>1</v>
      </c>
      <c r="F43" s="10" t="s">
        <v>2</v>
      </c>
      <c r="G43" s="10" t="s">
        <v>86</v>
      </c>
      <c r="H43" s="10" t="s">
        <v>87</v>
      </c>
    </row>
    <row r="44" spans="1:8" ht="15.75" customHeight="1">
      <c r="A44" s="12">
        <v>46235</v>
      </c>
      <c r="B44" s="14" t="s">
        <v>42</v>
      </c>
      <c r="C44" s="14"/>
      <c r="D44" s="14">
        <v>600</v>
      </c>
      <c r="E44" s="14"/>
      <c r="F44" s="14"/>
      <c r="G44" s="14"/>
      <c r="H44" s="14"/>
    </row>
    <row r="45" spans="1:8" ht="15.75" customHeight="1">
      <c r="A45" s="12">
        <v>46236</v>
      </c>
      <c r="B45" s="14" t="s">
        <v>42</v>
      </c>
      <c r="C45" s="14"/>
      <c r="D45" s="14">
        <v>800</v>
      </c>
      <c r="E45" s="14"/>
      <c r="F45" s="14"/>
      <c r="G45" s="14"/>
      <c r="H45" s="14"/>
    </row>
    <row r="46" spans="1:8" ht="15.75" customHeight="1">
      <c r="A46" s="12">
        <v>46239</v>
      </c>
      <c r="B46" s="14" t="s">
        <v>42</v>
      </c>
      <c r="C46" s="14"/>
      <c r="D46" s="14">
        <v>800</v>
      </c>
      <c r="E46" s="14"/>
      <c r="F46" s="14"/>
      <c r="G46" s="14"/>
      <c r="H46" s="14"/>
    </row>
    <row r="47" spans="1:8" ht="15.75" customHeight="1">
      <c r="A47" s="17">
        <v>46242</v>
      </c>
      <c r="B47" s="14" t="s">
        <v>42</v>
      </c>
      <c r="C47" s="14"/>
      <c r="D47" s="14">
        <v>600</v>
      </c>
      <c r="E47" s="14"/>
      <c r="F47" s="14"/>
      <c r="G47" s="14"/>
      <c r="H47" s="14"/>
    </row>
    <row r="48" spans="1:8" ht="15.75" customHeight="1">
      <c r="A48" s="12">
        <v>46243</v>
      </c>
      <c r="B48" s="14" t="s">
        <v>42</v>
      </c>
      <c r="C48" s="14"/>
      <c r="D48" s="14">
        <v>800</v>
      </c>
      <c r="E48" s="14"/>
      <c r="F48" s="14"/>
      <c r="G48" s="14"/>
      <c r="H48" s="14"/>
    </row>
    <row r="49" spans="1:8" ht="15.75" customHeight="1">
      <c r="A49" s="12">
        <v>46246</v>
      </c>
      <c r="B49" s="14" t="s">
        <v>42</v>
      </c>
      <c r="C49" s="14"/>
      <c r="D49" s="14">
        <v>800</v>
      </c>
      <c r="E49" s="14"/>
      <c r="F49" s="14"/>
      <c r="G49" s="14"/>
      <c r="H49" s="14"/>
    </row>
    <row r="50" spans="1:8" ht="15.75" customHeight="1">
      <c r="A50" s="31">
        <v>46249</v>
      </c>
      <c r="B50" s="14" t="s">
        <v>42</v>
      </c>
      <c r="C50" s="14"/>
      <c r="D50" s="14">
        <v>600</v>
      </c>
      <c r="E50" s="14"/>
      <c r="F50" s="14"/>
      <c r="G50" s="14"/>
      <c r="H50" s="14"/>
    </row>
    <row r="51" spans="1:8" ht="15.75" customHeight="1">
      <c r="A51" s="31">
        <v>46250</v>
      </c>
      <c r="B51" s="14" t="s">
        <v>42</v>
      </c>
      <c r="C51" s="14"/>
      <c r="D51" s="14">
        <v>800</v>
      </c>
      <c r="E51" s="14"/>
      <c r="F51" s="14"/>
      <c r="G51" s="14"/>
      <c r="H51" s="14"/>
    </row>
    <row r="52" spans="1:8" ht="15.75" customHeight="1">
      <c r="A52" s="31">
        <v>46253</v>
      </c>
      <c r="B52" s="14" t="s">
        <v>42</v>
      </c>
      <c r="C52" s="14"/>
      <c r="D52" s="14">
        <v>800</v>
      </c>
      <c r="E52" s="14"/>
      <c r="F52" s="14"/>
      <c r="G52" s="14"/>
      <c r="H52" s="14"/>
    </row>
    <row r="53" spans="1:8" ht="15.75" customHeight="1">
      <c r="A53" s="31" t="s">
        <v>23</v>
      </c>
      <c r="B53" s="32" t="s">
        <v>42</v>
      </c>
      <c r="C53" s="14"/>
      <c r="D53" s="14">
        <v>600</v>
      </c>
      <c r="E53" s="14"/>
      <c r="F53" s="14"/>
      <c r="G53" s="14"/>
      <c r="H53" s="14"/>
    </row>
    <row r="54" spans="1:8" ht="15.75" customHeight="1">
      <c r="A54" s="31" t="s">
        <v>24</v>
      </c>
      <c r="B54" s="32" t="s">
        <v>42</v>
      </c>
      <c r="C54" s="14"/>
      <c r="D54" s="14">
        <v>800</v>
      </c>
      <c r="E54" s="14"/>
      <c r="F54" s="14"/>
      <c r="G54" s="14"/>
      <c r="H54" s="14"/>
    </row>
    <row r="55" spans="1:8" ht="15.75" customHeight="1">
      <c r="A55" s="21" t="s">
        <v>28</v>
      </c>
      <c r="B55" s="14" t="s">
        <v>42</v>
      </c>
      <c r="C55" s="14"/>
      <c r="D55" s="14">
        <v>800</v>
      </c>
      <c r="E55" s="14"/>
      <c r="F55" s="14"/>
      <c r="G55" s="14"/>
      <c r="H55" s="14"/>
    </row>
    <row r="56" spans="1:8" ht="15.75" customHeight="1">
      <c r="A56" s="17"/>
      <c r="B56" s="14"/>
      <c r="C56" s="14"/>
      <c r="D56" s="14"/>
      <c r="E56" s="14"/>
      <c r="F56" s="14"/>
      <c r="G56" s="14"/>
      <c r="H56" s="14"/>
    </row>
    <row r="57" spans="1:8" ht="15.75" customHeight="1">
      <c r="A57" s="21"/>
      <c r="B57" s="14"/>
      <c r="C57" s="14"/>
      <c r="D57" s="14"/>
      <c r="E57" s="46" t="s">
        <v>100</v>
      </c>
      <c r="F57" s="14" t="s">
        <v>98</v>
      </c>
      <c r="G57" s="14"/>
      <c r="H57" s="15">
        <f>D58</f>
        <v>8800</v>
      </c>
    </row>
    <row r="58" spans="1:8" ht="15.75" customHeight="1">
      <c r="A58" s="17"/>
      <c r="B58" s="14"/>
      <c r="C58" s="14"/>
      <c r="D58" s="15">
        <f>SUM(D44:D55)</f>
        <v>8800</v>
      </c>
      <c r="E58" s="29"/>
      <c r="F58" s="29"/>
      <c r="G58" s="29"/>
      <c r="H58" s="30">
        <f>D58</f>
        <v>8800</v>
      </c>
    </row>
    <row r="59" spans="1:8" ht="15.75" customHeight="1">
      <c r="A59" s="17">
        <v>46031</v>
      </c>
      <c r="B59" s="14" t="s">
        <v>99</v>
      </c>
      <c r="C59" s="9"/>
      <c r="D59" s="43">
        <f>D58</f>
        <v>8800</v>
      </c>
      <c r="E59" s="8"/>
      <c r="F59" s="8"/>
      <c r="G59" s="8"/>
      <c r="H59" s="8"/>
    </row>
    <row r="60" spans="1:8" ht="15.75" customHeight="1">
      <c r="A60" s="44"/>
      <c r="B60" s="5"/>
      <c r="C60" s="5"/>
      <c r="D60" s="5"/>
      <c r="E60" s="5"/>
      <c r="F60" s="5"/>
      <c r="G60" s="5"/>
      <c r="H60" s="5"/>
    </row>
    <row r="61" spans="1:8" ht="15.75" customHeight="1">
      <c r="A61" s="44"/>
      <c r="B61" s="5"/>
      <c r="C61" s="5"/>
      <c r="D61" s="5"/>
      <c r="E61" s="5"/>
      <c r="F61" s="5"/>
      <c r="G61" s="5"/>
      <c r="H61" s="5"/>
    </row>
    <row r="62" spans="1:8" ht="15" customHeight="1">
      <c r="A62" s="24" t="s">
        <v>38</v>
      </c>
      <c r="B62" s="25"/>
      <c r="C62" s="76" t="s">
        <v>58</v>
      </c>
      <c r="D62" s="77"/>
      <c r="E62" s="77"/>
      <c r="F62" s="77"/>
      <c r="G62" s="25"/>
      <c r="H62" s="25" t="s">
        <v>85</v>
      </c>
    </row>
    <row r="63" spans="1:8" ht="15.75" customHeight="1">
      <c r="A63" s="45" t="s">
        <v>1</v>
      </c>
      <c r="B63" s="10" t="s">
        <v>2</v>
      </c>
      <c r="C63" s="10" t="s">
        <v>86</v>
      </c>
      <c r="D63" s="10" t="s">
        <v>87</v>
      </c>
      <c r="E63" s="10" t="s">
        <v>1</v>
      </c>
      <c r="F63" s="10" t="s">
        <v>2</v>
      </c>
      <c r="G63" s="10" t="s">
        <v>86</v>
      </c>
      <c r="H63" s="10" t="s">
        <v>87</v>
      </c>
    </row>
    <row r="64" spans="1:8" ht="15.75" customHeight="1">
      <c r="A64" s="46" t="s">
        <v>101</v>
      </c>
      <c r="B64" s="14" t="s">
        <v>42</v>
      </c>
      <c r="C64" s="14"/>
      <c r="D64" s="14">
        <v>600</v>
      </c>
      <c r="E64" s="14"/>
      <c r="F64" s="14"/>
      <c r="G64" s="14"/>
      <c r="H64" s="14"/>
    </row>
    <row r="65" spans="1:8" ht="15.75" customHeight="1">
      <c r="A65" s="12">
        <v>46244</v>
      </c>
      <c r="B65" s="14" t="s">
        <v>42</v>
      </c>
      <c r="C65" s="14"/>
      <c r="D65" s="14">
        <v>600</v>
      </c>
      <c r="E65" s="14"/>
      <c r="F65" s="14"/>
      <c r="G65" s="14"/>
      <c r="H65" s="14"/>
    </row>
    <row r="66" spans="1:8" ht="15.75" customHeight="1">
      <c r="A66" s="21" t="s">
        <v>102</v>
      </c>
      <c r="B66" s="14" t="s">
        <v>42</v>
      </c>
      <c r="C66" s="14"/>
      <c r="D66" s="14">
        <v>600</v>
      </c>
      <c r="E66" s="14"/>
      <c r="F66" s="14"/>
      <c r="G66" s="14"/>
      <c r="H66" s="14"/>
    </row>
    <row r="67" spans="1:8" ht="15.75" customHeight="1">
      <c r="A67" s="21" t="s">
        <v>25</v>
      </c>
      <c r="B67" s="14" t="s">
        <v>42</v>
      </c>
      <c r="C67" s="14"/>
      <c r="D67" s="14">
        <v>600</v>
      </c>
      <c r="E67" s="14"/>
      <c r="F67" s="14"/>
      <c r="G67" s="14"/>
      <c r="H67" s="14"/>
    </row>
    <row r="68" spans="1:8" ht="15.75" customHeight="1">
      <c r="A68" s="21"/>
      <c r="B68" s="14"/>
      <c r="C68" s="14"/>
      <c r="D68" s="14"/>
      <c r="E68" s="46" t="s">
        <v>100</v>
      </c>
      <c r="F68" s="14" t="s">
        <v>98</v>
      </c>
      <c r="G68" s="14"/>
      <c r="H68" s="15">
        <v>2400</v>
      </c>
    </row>
    <row r="69" spans="1:8" ht="15.75" customHeight="1">
      <c r="A69" s="17"/>
      <c r="B69" s="14"/>
      <c r="C69" s="14"/>
      <c r="D69" s="15">
        <v>2400</v>
      </c>
      <c r="E69" s="29"/>
      <c r="F69" s="29"/>
      <c r="G69" s="29"/>
      <c r="H69" s="30">
        <v>2400</v>
      </c>
    </row>
    <row r="70" spans="1:8" ht="15.75" customHeight="1">
      <c r="A70" s="17">
        <v>46031</v>
      </c>
      <c r="B70" s="14" t="s">
        <v>99</v>
      </c>
      <c r="C70" s="9"/>
      <c r="D70" s="43">
        <v>2400</v>
      </c>
      <c r="E70" s="8"/>
      <c r="F70" s="8"/>
      <c r="G70" s="8"/>
      <c r="H70" s="8"/>
    </row>
    <row r="71" spans="1:8" ht="15.75" customHeight="1">
      <c r="A71" s="44"/>
      <c r="B71" s="5"/>
      <c r="C71" s="5"/>
      <c r="D71" s="5"/>
      <c r="E71" s="5"/>
      <c r="F71" s="5"/>
      <c r="G71" s="5"/>
      <c r="H71" s="5"/>
    </row>
    <row r="72" spans="1:8" ht="15.75" customHeight="1">
      <c r="A72" s="44"/>
      <c r="B72" s="5"/>
      <c r="C72" s="5"/>
      <c r="D72" s="5"/>
      <c r="E72" s="5"/>
      <c r="F72" s="5"/>
      <c r="G72" s="5"/>
      <c r="H72" s="5"/>
    </row>
    <row r="73" spans="1:8" ht="15" customHeight="1">
      <c r="A73" s="24" t="s">
        <v>38</v>
      </c>
      <c r="B73" s="25"/>
      <c r="C73" s="76" t="s">
        <v>103</v>
      </c>
      <c r="D73" s="77"/>
      <c r="E73" s="77"/>
      <c r="F73" s="77"/>
      <c r="G73" s="25"/>
      <c r="H73" s="25" t="s">
        <v>85</v>
      </c>
    </row>
    <row r="74" spans="1:8" ht="15.75" customHeight="1">
      <c r="A74" s="45" t="s">
        <v>1</v>
      </c>
      <c r="B74" s="10" t="s">
        <v>2</v>
      </c>
      <c r="C74" s="10" t="s">
        <v>86</v>
      </c>
      <c r="D74" s="10" t="s">
        <v>87</v>
      </c>
      <c r="E74" s="10" t="s">
        <v>1</v>
      </c>
      <c r="F74" s="10" t="s">
        <v>2</v>
      </c>
      <c r="G74" s="10" t="s">
        <v>86</v>
      </c>
      <c r="H74" s="10" t="s">
        <v>87</v>
      </c>
    </row>
    <row r="75" spans="1:8" ht="15.75" customHeight="1">
      <c r="A75" s="12">
        <v>46238</v>
      </c>
      <c r="B75" s="14" t="s">
        <v>42</v>
      </c>
      <c r="C75" s="14"/>
      <c r="D75" s="15">
        <v>6000</v>
      </c>
      <c r="E75" s="14"/>
      <c r="F75" s="14"/>
      <c r="G75" s="14"/>
      <c r="H75" s="14"/>
    </row>
    <row r="76" spans="1:8" ht="15.75" customHeight="1">
      <c r="A76" s="21"/>
      <c r="B76" s="14"/>
      <c r="C76" s="14"/>
      <c r="D76" s="14"/>
      <c r="E76" s="46" t="s">
        <v>100</v>
      </c>
      <c r="F76" s="14" t="s">
        <v>98</v>
      </c>
      <c r="G76" s="14"/>
      <c r="H76" s="15">
        <v>6000</v>
      </c>
    </row>
    <row r="77" spans="1:8" ht="15.75" customHeight="1">
      <c r="A77" s="17"/>
      <c r="B77" s="14"/>
      <c r="C77" s="14"/>
      <c r="D77" s="15">
        <v>6000</v>
      </c>
      <c r="E77" s="29"/>
      <c r="F77" s="29"/>
      <c r="G77" s="29"/>
      <c r="H77" s="30">
        <v>6000</v>
      </c>
    </row>
    <row r="78" spans="1:8" ht="15.75" customHeight="1">
      <c r="A78" s="17">
        <v>46031</v>
      </c>
      <c r="B78" s="14" t="s">
        <v>99</v>
      </c>
      <c r="C78" s="9"/>
      <c r="D78" s="43">
        <v>6000</v>
      </c>
      <c r="E78" s="8"/>
      <c r="F78" s="8"/>
      <c r="G78" s="8"/>
      <c r="H78" s="8"/>
    </row>
    <row r="79" spans="1:8" ht="15.75" customHeight="1">
      <c r="A79" s="44"/>
      <c r="B79" s="5"/>
      <c r="C79" s="5"/>
      <c r="D79" s="5"/>
      <c r="E79" s="5"/>
      <c r="F79" s="5"/>
      <c r="G79" s="5"/>
      <c r="H79" s="5"/>
    </row>
    <row r="80" spans="1:8" ht="15.75" customHeight="1">
      <c r="A80" s="44"/>
      <c r="B80" s="5"/>
      <c r="C80" s="5"/>
      <c r="D80" s="5"/>
      <c r="E80" s="5"/>
      <c r="F80" s="5"/>
      <c r="G80" s="5"/>
      <c r="H80" s="5"/>
    </row>
    <row r="81" spans="1:8" ht="15" customHeight="1">
      <c r="A81" s="24" t="s">
        <v>38</v>
      </c>
      <c r="B81" s="25"/>
      <c r="C81" s="76" t="s">
        <v>104</v>
      </c>
      <c r="D81" s="77"/>
      <c r="E81" s="77"/>
      <c r="F81" s="77"/>
      <c r="G81" s="25"/>
      <c r="H81" s="25" t="s">
        <v>85</v>
      </c>
    </row>
    <row r="82" spans="1:8" ht="15.75" customHeight="1">
      <c r="A82" s="45" t="s">
        <v>1</v>
      </c>
      <c r="B82" s="10" t="s">
        <v>2</v>
      </c>
      <c r="C82" s="10" t="s">
        <v>86</v>
      </c>
      <c r="D82" s="10" t="s">
        <v>87</v>
      </c>
      <c r="E82" s="10" t="s">
        <v>1</v>
      </c>
      <c r="F82" s="10" t="s">
        <v>2</v>
      </c>
      <c r="G82" s="10" t="s">
        <v>86</v>
      </c>
      <c r="H82" s="10" t="s">
        <v>87</v>
      </c>
    </row>
    <row r="83" spans="1:8" ht="15.75" customHeight="1">
      <c r="A83" s="17"/>
      <c r="B83" s="14"/>
      <c r="C83" s="14"/>
      <c r="D83" s="14"/>
      <c r="E83" s="12">
        <v>46240</v>
      </c>
      <c r="F83" s="14" t="s">
        <v>88</v>
      </c>
      <c r="G83" s="14"/>
      <c r="H83" s="15">
        <v>6000</v>
      </c>
    </row>
    <row r="84" spans="1:8" ht="15.75" customHeight="1">
      <c r="A84" s="17"/>
      <c r="B84" s="14"/>
      <c r="C84" s="14"/>
      <c r="D84" s="14"/>
      <c r="E84" s="46" t="s">
        <v>14</v>
      </c>
      <c r="F84" s="14" t="s">
        <v>88</v>
      </c>
      <c r="G84" s="14"/>
      <c r="H84" s="15">
        <v>6000</v>
      </c>
    </row>
    <row r="85" spans="1:8" ht="15.75" customHeight="1">
      <c r="A85" s="17"/>
      <c r="B85" s="14"/>
      <c r="C85" s="14"/>
      <c r="D85" s="14"/>
      <c r="E85" s="46" t="s">
        <v>19</v>
      </c>
      <c r="F85" s="14" t="s">
        <v>88</v>
      </c>
      <c r="G85" s="14"/>
      <c r="H85" s="15">
        <v>6000</v>
      </c>
    </row>
    <row r="86" spans="1:8" ht="15.75" customHeight="1">
      <c r="A86" s="17"/>
      <c r="B86" s="14"/>
      <c r="C86" s="14"/>
      <c r="D86" s="14"/>
      <c r="E86" s="46" t="s">
        <v>29</v>
      </c>
      <c r="F86" s="14" t="s">
        <v>88</v>
      </c>
      <c r="G86" s="14"/>
      <c r="H86" s="15">
        <v>6000</v>
      </c>
    </row>
    <row r="87" spans="1:8" ht="15.75" customHeight="1">
      <c r="A87" s="14" t="s">
        <v>100</v>
      </c>
      <c r="B87" s="14" t="s">
        <v>89</v>
      </c>
      <c r="C87" s="14"/>
      <c r="D87" s="15">
        <v>24000</v>
      </c>
      <c r="E87" s="14"/>
      <c r="F87" s="14"/>
      <c r="G87" s="14"/>
      <c r="H87" s="15"/>
    </row>
    <row r="88" spans="1:8" ht="15.75" customHeight="1">
      <c r="A88" s="33"/>
      <c r="B88" s="29"/>
      <c r="C88" s="29"/>
      <c r="D88" s="30">
        <v>24000</v>
      </c>
      <c r="E88" s="14"/>
      <c r="F88" s="14"/>
      <c r="G88" s="14"/>
      <c r="H88" s="15">
        <v>0</v>
      </c>
    </row>
    <row r="89" spans="1:8" ht="15.75" customHeight="1">
      <c r="A89" s="22"/>
      <c r="B89" s="8"/>
      <c r="C89" s="8"/>
      <c r="D89" s="8"/>
      <c r="E89" s="52">
        <v>46266</v>
      </c>
      <c r="F89" s="53" t="s">
        <v>90</v>
      </c>
      <c r="G89" s="53"/>
      <c r="H89" s="15">
        <v>24000</v>
      </c>
    </row>
    <row r="90" spans="1:8" ht="15.75" customHeight="1">
      <c r="A90" s="44"/>
      <c r="B90" s="5"/>
      <c r="C90" s="5"/>
      <c r="D90" s="5"/>
      <c r="E90" s="5"/>
      <c r="F90" s="5"/>
      <c r="G90" s="5"/>
      <c r="H90" s="5"/>
    </row>
    <row r="91" spans="1:8" ht="15.75" customHeight="1">
      <c r="A91" s="44"/>
      <c r="B91" s="5"/>
      <c r="C91" s="5"/>
      <c r="D91" s="5"/>
      <c r="E91" s="5"/>
      <c r="F91" s="5"/>
      <c r="G91" s="5"/>
      <c r="H91" s="5"/>
    </row>
    <row r="92" spans="1:8" ht="15" customHeight="1">
      <c r="A92" s="24" t="s">
        <v>38</v>
      </c>
      <c r="B92" s="25"/>
      <c r="C92" s="76" t="s">
        <v>105</v>
      </c>
      <c r="D92" s="77"/>
      <c r="E92" s="77"/>
      <c r="F92" s="77"/>
      <c r="G92" s="25"/>
      <c r="H92" s="25" t="s">
        <v>85</v>
      </c>
    </row>
    <row r="93" spans="1:8" ht="15.75" customHeight="1">
      <c r="A93" s="45" t="s">
        <v>1</v>
      </c>
      <c r="B93" s="10" t="s">
        <v>2</v>
      </c>
      <c r="C93" s="10" t="s">
        <v>86</v>
      </c>
      <c r="D93" s="10" t="s">
        <v>87</v>
      </c>
      <c r="E93" s="10" t="s">
        <v>1</v>
      </c>
      <c r="F93" s="10" t="s">
        <v>2</v>
      </c>
      <c r="G93" s="10" t="s">
        <v>86</v>
      </c>
      <c r="H93" s="10" t="s">
        <v>87</v>
      </c>
    </row>
    <row r="94" spans="1:8" ht="15.75" customHeight="1">
      <c r="A94" s="17">
        <v>46241</v>
      </c>
      <c r="B94" s="14" t="s">
        <v>42</v>
      </c>
      <c r="C94" s="14"/>
      <c r="D94" s="15">
        <v>1200</v>
      </c>
      <c r="E94" s="14"/>
      <c r="F94" s="14"/>
      <c r="G94" s="14"/>
      <c r="H94" s="14"/>
    </row>
    <row r="95" spans="1:8" ht="15.75" customHeight="1">
      <c r="A95" s="21"/>
      <c r="B95" s="14"/>
      <c r="C95" s="14"/>
      <c r="D95" s="15"/>
      <c r="E95" s="14" t="s">
        <v>100</v>
      </c>
      <c r="F95" s="14" t="s">
        <v>98</v>
      </c>
      <c r="G95" s="14"/>
      <c r="H95" s="15">
        <v>1200</v>
      </c>
    </row>
    <row r="96" spans="1:8" ht="15.75" customHeight="1">
      <c r="A96" s="17"/>
      <c r="B96" s="14"/>
      <c r="C96" s="14"/>
      <c r="D96" s="15">
        <v>1200</v>
      </c>
      <c r="E96" s="29"/>
      <c r="F96" s="29"/>
      <c r="G96" s="29"/>
      <c r="H96" s="30">
        <v>1200</v>
      </c>
    </row>
    <row r="97" spans="1:8" ht="15.75" customHeight="1">
      <c r="A97" s="12">
        <v>46266</v>
      </c>
      <c r="B97" s="14" t="s">
        <v>99</v>
      </c>
      <c r="C97" s="53"/>
      <c r="D97" s="54">
        <v>1200</v>
      </c>
      <c r="E97" s="8"/>
      <c r="F97" s="8"/>
      <c r="G97" s="8"/>
      <c r="H97" s="8"/>
    </row>
    <row r="98" spans="1:8" ht="15.75" customHeight="1">
      <c r="A98" s="44"/>
      <c r="B98" s="5"/>
      <c r="C98" s="5"/>
      <c r="D98" s="5"/>
      <c r="E98" s="5"/>
      <c r="F98" s="5"/>
      <c r="G98" s="5"/>
      <c r="H98" s="5"/>
    </row>
    <row r="99" spans="1:8" ht="15.75" customHeight="1">
      <c r="A99" s="44"/>
      <c r="B99" s="5"/>
      <c r="C99" s="5"/>
      <c r="D99" s="5"/>
      <c r="E99" s="5"/>
      <c r="F99" s="5"/>
      <c r="G99" s="5"/>
      <c r="H99" s="5"/>
    </row>
    <row r="100" spans="1:8" ht="15" customHeight="1">
      <c r="A100" s="24" t="s">
        <v>38</v>
      </c>
      <c r="B100" s="25"/>
      <c r="C100" s="76" t="s">
        <v>106</v>
      </c>
      <c r="D100" s="77"/>
      <c r="E100" s="77"/>
      <c r="F100" s="77"/>
      <c r="G100" s="25"/>
      <c r="H100" s="25" t="s">
        <v>85</v>
      </c>
    </row>
    <row r="101" spans="1:8" ht="15.75" customHeight="1">
      <c r="A101" s="45" t="s">
        <v>1</v>
      </c>
      <c r="B101" s="10" t="s">
        <v>2</v>
      </c>
      <c r="C101" s="10" t="s">
        <v>86</v>
      </c>
      <c r="D101" s="10" t="s">
        <v>87</v>
      </c>
      <c r="E101" s="10" t="s">
        <v>1</v>
      </c>
      <c r="F101" s="10" t="s">
        <v>2</v>
      </c>
      <c r="G101" s="10" t="s">
        <v>86</v>
      </c>
      <c r="H101" s="10" t="s">
        <v>87</v>
      </c>
    </row>
    <row r="102" spans="1:8" ht="15.75" customHeight="1">
      <c r="A102" s="17"/>
      <c r="B102" s="14"/>
      <c r="C102" s="14"/>
      <c r="D102" s="14"/>
      <c r="E102" s="17">
        <v>46334</v>
      </c>
      <c r="F102" s="14" t="s">
        <v>88</v>
      </c>
      <c r="G102" s="14"/>
      <c r="H102" s="15">
        <v>3000</v>
      </c>
    </row>
    <row r="103" spans="1:8" ht="15.75" customHeight="1">
      <c r="A103" s="14" t="s">
        <v>100</v>
      </c>
      <c r="B103" s="14" t="s">
        <v>89</v>
      </c>
      <c r="C103" s="14"/>
      <c r="D103" s="15">
        <v>3000</v>
      </c>
      <c r="E103" s="17"/>
      <c r="F103" s="14"/>
      <c r="G103" s="14"/>
      <c r="H103" s="15"/>
    </row>
    <row r="104" spans="1:8" ht="15.75" customHeight="1">
      <c r="A104" s="33"/>
      <c r="B104" s="29"/>
      <c r="C104" s="29"/>
      <c r="D104" s="30">
        <v>3000</v>
      </c>
      <c r="E104" s="17"/>
      <c r="F104" s="14"/>
      <c r="G104" s="14"/>
      <c r="H104" s="15">
        <v>3000</v>
      </c>
    </row>
    <row r="105" spans="1:8" ht="15.75" customHeight="1">
      <c r="A105" s="22"/>
      <c r="B105" s="8"/>
      <c r="C105" s="8"/>
      <c r="D105" s="8"/>
      <c r="E105" s="12">
        <v>46266</v>
      </c>
      <c r="F105" s="53" t="s">
        <v>90</v>
      </c>
      <c r="G105" s="53"/>
      <c r="H105" s="15">
        <v>3000</v>
      </c>
    </row>
    <row r="106" spans="1:8" ht="15.75" customHeight="1">
      <c r="A106" s="44"/>
      <c r="B106" s="5"/>
      <c r="C106" s="5"/>
      <c r="D106" s="5"/>
      <c r="E106" s="5"/>
      <c r="F106" s="5"/>
      <c r="G106" s="5"/>
      <c r="H106" s="5"/>
    </row>
    <row r="107" spans="1:8" ht="15.75" customHeight="1">
      <c r="A107" s="44"/>
      <c r="B107" s="5"/>
      <c r="C107" s="5"/>
      <c r="D107" s="5"/>
      <c r="E107" s="5"/>
      <c r="F107" s="5"/>
      <c r="G107" s="5"/>
      <c r="H107" s="5"/>
    </row>
    <row r="108" spans="1:8" ht="15" customHeight="1">
      <c r="A108" s="24" t="s">
        <v>38</v>
      </c>
      <c r="B108" s="25"/>
      <c r="C108" s="76" t="s">
        <v>64</v>
      </c>
      <c r="D108" s="77"/>
      <c r="E108" s="77"/>
      <c r="F108" s="77"/>
      <c r="G108" s="25"/>
      <c r="H108" s="25" t="s">
        <v>85</v>
      </c>
    </row>
    <row r="109" spans="1:8" ht="15.75" customHeight="1">
      <c r="A109" s="45" t="s">
        <v>1</v>
      </c>
      <c r="B109" s="10" t="s">
        <v>2</v>
      </c>
      <c r="C109" s="10" t="s">
        <v>86</v>
      </c>
      <c r="D109" s="10" t="s">
        <v>87</v>
      </c>
      <c r="E109" s="10" t="s">
        <v>1</v>
      </c>
      <c r="F109" s="10" t="s">
        <v>2</v>
      </c>
      <c r="G109" s="10" t="s">
        <v>86</v>
      </c>
      <c r="H109" s="10" t="s">
        <v>87</v>
      </c>
    </row>
    <row r="110" spans="1:8" ht="15.75" customHeight="1">
      <c r="A110" s="17">
        <v>46248</v>
      </c>
      <c r="B110" s="14" t="s">
        <v>42</v>
      </c>
      <c r="C110" s="14"/>
      <c r="D110" s="15">
        <v>1200</v>
      </c>
      <c r="E110" s="14"/>
      <c r="F110" s="14"/>
      <c r="G110" s="14"/>
      <c r="H110" s="14"/>
    </row>
    <row r="111" spans="1:8" ht="15.75" customHeight="1">
      <c r="A111" s="21"/>
      <c r="B111" s="14"/>
      <c r="C111" s="14"/>
      <c r="D111" s="15"/>
      <c r="E111" s="14" t="s">
        <v>100</v>
      </c>
      <c r="F111" s="14" t="s">
        <v>98</v>
      </c>
      <c r="G111" s="14"/>
      <c r="H111" s="15">
        <v>1200</v>
      </c>
    </row>
    <row r="112" spans="1:8" ht="15.75" customHeight="1">
      <c r="A112" s="17"/>
      <c r="B112" s="14"/>
      <c r="C112" s="14"/>
      <c r="D112" s="15">
        <v>1200</v>
      </c>
      <c r="E112" s="29"/>
      <c r="F112" s="29"/>
      <c r="G112" s="29"/>
      <c r="H112" s="30">
        <v>1200</v>
      </c>
    </row>
    <row r="113" spans="1:8" ht="15.75" customHeight="1">
      <c r="A113" s="12">
        <v>46266</v>
      </c>
      <c r="B113" s="14" t="s">
        <v>99</v>
      </c>
      <c r="C113" s="53"/>
      <c r="D113" s="54">
        <v>1200</v>
      </c>
      <c r="E113" s="8"/>
      <c r="F113" s="8"/>
      <c r="G113" s="8"/>
      <c r="H113" s="8"/>
    </row>
    <row r="114" spans="1:8" ht="15.75" customHeight="1">
      <c r="A114" s="55"/>
      <c r="B114" s="55"/>
      <c r="C114" s="55"/>
      <c r="D114" s="55"/>
      <c r="E114" s="55"/>
      <c r="F114" s="55"/>
      <c r="G114" s="55"/>
      <c r="H114" s="55"/>
    </row>
    <row r="115" spans="1:8" ht="15.75" customHeight="1">
      <c r="A115" s="24" t="s">
        <v>38</v>
      </c>
      <c r="B115" s="25"/>
      <c r="C115" s="76" t="s">
        <v>75</v>
      </c>
      <c r="D115" s="77"/>
      <c r="E115" s="77"/>
      <c r="F115" s="77"/>
      <c r="G115" s="25"/>
      <c r="H115" s="25" t="s">
        <v>85</v>
      </c>
    </row>
    <row r="116" spans="1:8" ht="15.75" customHeight="1">
      <c r="A116" s="45" t="s">
        <v>1</v>
      </c>
      <c r="B116" s="10" t="s">
        <v>2</v>
      </c>
      <c r="C116" s="10" t="s">
        <v>86</v>
      </c>
      <c r="D116" s="10" t="s">
        <v>87</v>
      </c>
      <c r="E116" s="10" t="s">
        <v>1</v>
      </c>
      <c r="F116" s="10" t="s">
        <v>2</v>
      </c>
      <c r="G116" s="10" t="s">
        <v>86</v>
      </c>
      <c r="H116" s="10" t="s">
        <v>87</v>
      </c>
    </row>
    <row r="117" spans="1:8" ht="15.75" customHeight="1">
      <c r="A117" s="17">
        <v>46248</v>
      </c>
      <c r="B117" s="14" t="s">
        <v>42</v>
      </c>
      <c r="C117" s="14"/>
      <c r="D117" s="15">
        <v>1000</v>
      </c>
      <c r="E117" s="14"/>
      <c r="F117" s="14"/>
      <c r="G117" s="14"/>
      <c r="H117" s="14"/>
    </row>
    <row r="118" spans="1:8" ht="15.75" customHeight="1">
      <c r="A118" s="21"/>
      <c r="B118" s="14"/>
      <c r="C118" s="14"/>
      <c r="D118" s="15"/>
      <c r="E118" s="14" t="s">
        <v>100</v>
      </c>
      <c r="F118" s="14" t="s">
        <v>98</v>
      </c>
      <c r="G118" s="14"/>
      <c r="H118" s="15">
        <v>1000</v>
      </c>
    </row>
    <row r="119" spans="1:8" ht="15.75" customHeight="1">
      <c r="A119" s="17"/>
      <c r="B119" s="14"/>
      <c r="C119" s="14"/>
      <c r="D119" s="15">
        <v>1000</v>
      </c>
      <c r="E119" s="29"/>
      <c r="F119" s="29"/>
      <c r="G119" s="29"/>
      <c r="H119" s="30">
        <v>1000</v>
      </c>
    </row>
    <row r="120" spans="1:8" ht="15.75" customHeight="1">
      <c r="A120" s="12">
        <v>46266</v>
      </c>
      <c r="B120" s="14" t="s">
        <v>99</v>
      </c>
      <c r="C120" s="53"/>
      <c r="D120" s="54">
        <v>1000</v>
      </c>
      <c r="E120" s="8"/>
      <c r="F120" s="8"/>
      <c r="G120" s="8"/>
      <c r="H120" s="8"/>
    </row>
    <row r="121" spans="1:8" ht="15.75" customHeight="1">
      <c r="A121" s="55"/>
      <c r="B121" s="55"/>
      <c r="C121" s="55"/>
      <c r="D121" s="55"/>
      <c r="E121" s="55"/>
      <c r="F121" s="55"/>
      <c r="G121" s="55"/>
      <c r="H121" s="55"/>
    </row>
    <row r="122" spans="1:8" ht="15.75" customHeight="1">
      <c r="A122" s="24" t="s">
        <v>38</v>
      </c>
      <c r="B122" s="25"/>
      <c r="C122" s="76" t="s">
        <v>81</v>
      </c>
      <c r="D122" s="77"/>
      <c r="E122" s="77"/>
      <c r="F122" s="77"/>
      <c r="G122" s="25"/>
      <c r="H122" s="25" t="s">
        <v>85</v>
      </c>
    </row>
    <row r="123" spans="1:8" ht="15.75" customHeight="1">
      <c r="A123" s="45" t="s">
        <v>1</v>
      </c>
      <c r="B123" s="10" t="s">
        <v>2</v>
      </c>
      <c r="C123" s="10" t="s">
        <v>86</v>
      </c>
      <c r="D123" s="10" t="s">
        <v>87</v>
      </c>
      <c r="E123" s="10" t="s">
        <v>1</v>
      </c>
      <c r="F123" s="10" t="s">
        <v>2</v>
      </c>
      <c r="G123" s="10" t="s">
        <v>86</v>
      </c>
      <c r="H123" s="10" t="s">
        <v>87</v>
      </c>
    </row>
    <row r="124" spans="1:8" ht="15.75" customHeight="1">
      <c r="A124" s="17">
        <v>46248</v>
      </c>
      <c r="B124" s="14" t="s">
        <v>42</v>
      </c>
      <c r="C124" s="14"/>
      <c r="D124" s="15">
        <v>3000</v>
      </c>
      <c r="E124" s="14"/>
      <c r="F124" s="14"/>
      <c r="G124" s="14"/>
      <c r="H124" s="14"/>
    </row>
    <row r="125" spans="1:8" ht="15.75" customHeight="1">
      <c r="A125" s="21"/>
      <c r="B125" s="14"/>
      <c r="C125" s="14"/>
      <c r="D125" s="15"/>
      <c r="E125" s="14" t="s">
        <v>100</v>
      </c>
      <c r="F125" s="14" t="s">
        <v>98</v>
      </c>
      <c r="G125" s="14"/>
      <c r="H125" s="15">
        <v>3000</v>
      </c>
    </row>
    <row r="126" spans="1:8" ht="15.75" customHeight="1">
      <c r="A126" s="17"/>
      <c r="B126" s="14"/>
      <c r="C126" s="14"/>
      <c r="D126" s="15">
        <v>3000</v>
      </c>
      <c r="E126" s="29"/>
      <c r="F126" s="29"/>
      <c r="G126" s="29"/>
      <c r="H126" s="30">
        <v>3000</v>
      </c>
    </row>
    <row r="127" spans="1:8" ht="15.75" customHeight="1">
      <c r="A127" s="12">
        <v>46266</v>
      </c>
      <c r="B127" s="14" t="s">
        <v>99</v>
      </c>
      <c r="C127" s="53"/>
      <c r="D127" s="54">
        <v>3000</v>
      </c>
      <c r="E127" s="8"/>
      <c r="F127" s="8"/>
      <c r="G127" s="8"/>
      <c r="H127" s="8"/>
    </row>
    <row r="128" spans="1:8" ht="15.75" customHeight="1">
      <c r="A128" s="55"/>
      <c r="B128" s="55"/>
      <c r="C128" s="55"/>
      <c r="D128" s="55"/>
      <c r="E128" s="55"/>
      <c r="F128" s="55"/>
      <c r="G128" s="55"/>
      <c r="H128" s="55"/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mergeCells count="12">
    <mergeCell ref="C115:F115"/>
    <mergeCell ref="C122:F122"/>
    <mergeCell ref="C100:F100"/>
    <mergeCell ref="C108:F108"/>
    <mergeCell ref="A1:H1"/>
    <mergeCell ref="C3:F3"/>
    <mergeCell ref="C42:F42"/>
    <mergeCell ref="C62:F62"/>
    <mergeCell ref="C73:F73"/>
    <mergeCell ref="C81:F81"/>
    <mergeCell ref="C92:F92"/>
    <mergeCell ref="C10:F10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0B62D-A89B-4C9F-AA84-5402CF444B7A}">
  <dimension ref="A1:E17"/>
  <sheetViews>
    <sheetView workbookViewId="0">
      <selection activeCell="F8" sqref="F8"/>
    </sheetView>
  </sheetViews>
  <sheetFormatPr defaultRowHeight="15"/>
  <cols>
    <col min="1" max="4" width="17.140625" customWidth="1"/>
  </cols>
  <sheetData>
    <row r="1" spans="1:5" ht="31.5" customHeight="1">
      <c r="A1" s="90" t="s">
        <v>107</v>
      </c>
      <c r="B1" s="90"/>
      <c r="C1" s="90"/>
      <c r="D1" s="90"/>
      <c r="E1" s="55"/>
    </row>
    <row r="2" spans="1:5">
      <c r="A2" s="91"/>
      <c r="B2" s="91"/>
      <c r="C2" s="91"/>
      <c r="D2" s="91"/>
      <c r="E2" s="55"/>
    </row>
    <row r="3" spans="1:5">
      <c r="A3" s="92" t="s">
        <v>2</v>
      </c>
      <c r="B3" s="92" t="s">
        <v>34</v>
      </c>
      <c r="C3" s="92" t="s">
        <v>108</v>
      </c>
      <c r="D3" s="92" t="s">
        <v>109</v>
      </c>
      <c r="E3" s="55"/>
    </row>
    <row r="4" spans="1:5">
      <c r="A4" s="93" t="s">
        <v>84</v>
      </c>
      <c r="B4" s="93"/>
      <c r="C4" s="93"/>
      <c r="D4" s="93">
        <v>60000</v>
      </c>
      <c r="E4" s="55"/>
    </row>
    <row r="5" spans="1:5">
      <c r="A5" s="93" t="s">
        <v>59</v>
      </c>
      <c r="B5" s="93"/>
      <c r="C5" s="93">
        <v>29300</v>
      </c>
      <c r="D5" s="93"/>
      <c r="E5" s="55"/>
    </row>
    <row r="6" spans="1:5">
      <c r="A6" s="93" t="s">
        <v>54</v>
      </c>
      <c r="B6" s="93"/>
      <c r="C6" s="93">
        <v>31500</v>
      </c>
      <c r="D6" s="93"/>
      <c r="E6" s="55"/>
    </row>
    <row r="7" spans="1:5">
      <c r="A7" s="93" t="s">
        <v>58</v>
      </c>
      <c r="B7" s="93"/>
      <c r="C7" s="93">
        <v>1500</v>
      </c>
      <c r="D7" s="93"/>
      <c r="E7" s="55"/>
    </row>
    <row r="8" spans="1:5">
      <c r="A8" s="93" t="s">
        <v>103</v>
      </c>
      <c r="B8" s="93"/>
      <c r="C8" s="93"/>
      <c r="D8" s="93">
        <v>5000</v>
      </c>
      <c r="E8" s="55"/>
    </row>
    <row r="9" spans="1:5">
      <c r="A9" s="93" t="s">
        <v>105</v>
      </c>
      <c r="B9" s="93"/>
      <c r="C9" s="93">
        <v>1200</v>
      </c>
      <c r="D9" s="93"/>
      <c r="E9" s="55"/>
    </row>
    <row r="10" spans="1:5">
      <c r="A10" s="93" t="s">
        <v>64</v>
      </c>
      <c r="B10" s="93"/>
      <c r="C10" s="93">
        <v>1000</v>
      </c>
      <c r="D10" s="93"/>
      <c r="E10" s="55"/>
    </row>
    <row r="11" spans="1:5">
      <c r="A11" s="93" t="s">
        <v>104</v>
      </c>
      <c r="B11" s="93"/>
      <c r="C11" s="93"/>
      <c r="D11" s="93">
        <v>24000</v>
      </c>
      <c r="E11" s="55"/>
    </row>
    <row r="12" spans="1:5">
      <c r="A12" s="93" t="s">
        <v>106</v>
      </c>
      <c r="B12" s="93"/>
      <c r="C12" s="93"/>
      <c r="D12" s="93">
        <v>3000</v>
      </c>
      <c r="E12" s="55"/>
    </row>
    <row r="13" spans="1:5">
      <c r="A13" s="93" t="s">
        <v>110</v>
      </c>
      <c r="B13" s="93"/>
      <c r="C13" s="93">
        <v>1200</v>
      </c>
      <c r="D13" s="93"/>
      <c r="E13" s="55"/>
    </row>
    <row r="14" spans="1:5">
      <c r="A14" s="93" t="s">
        <v>111</v>
      </c>
      <c r="B14" s="93"/>
      <c r="C14" s="93">
        <v>1000</v>
      </c>
      <c r="D14" s="93"/>
      <c r="E14" s="55"/>
    </row>
    <row r="15" spans="1:5">
      <c r="A15" s="93" t="s">
        <v>112</v>
      </c>
      <c r="B15" s="93"/>
      <c r="C15" s="93">
        <v>3000</v>
      </c>
      <c r="D15" s="93"/>
      <c r="E15" s="55"/>
    </row>
    <row r="16" spans="1:5">
      <c r="A16" s="94" t="s">
        <v>113</v>
      </c>
      <c r="B16" s="94"/>
      <c r="C16" s="94">
        <v>69700</v>
      </c>
      <c r="D16" s="94">
        <v>92000</v>
      </c>
      <c r="E16" s="55"/>
    </row>
    <row r="17" spans="1:4">
      <c r="A17" s="55"/>
      <c r="B17" s="55"/>
      <c r="C17" s="55"/>
      <c r="D17" s="55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D70C5-501A-4FE9-A9B4-2CE5C826C365}">
  <dimension ref="A1:G11"/>
  <sheetViews>
    <sheetView topLeftCell="B1" workbookViewId="0">
      <selection activeCell="B14" sqref="B14"/>
    </sheetView>
  </sheetViews>
  <sheetFormatPr defaultRowHeight="15"/>
  <cols>
    <col min="1" max="6" width="27.5703125" customWidth="1"/>
  </cols>
  <sheetData>
    <row r="1" spans="1:7" ht="33" customHeight="1">
      <c r="A1" s="96" t="s">
        <v>114</v>
      </c>
      <c r="B1" s="97"/>
      <c r="C1" s="97"/>
      <c r="D1" s="97"/>
      <c r="E1" s="97"/>
      <c r="F1" s="98"/>
      <c r="G1" s="55"/>
    </row>
    <row r="2" spans="1:7">
      <c r="A2" s="92" t="s">
        <v>115</v>
      </c>
      <c r="B2" s="92" t="s">
        <v>3</v>
      </c>
      <c r="C2" s="92" t="s">
        <v>3</v>
      </c>
      <c r="D2" s="92" t="s">
        <v>116</v>
      </c>
      <c r="E2" s="92" t="s">
        <v>3</v>
      </c>
      <c r="F2" s="92" t="s">
        <v>3</v>
      </c>
      <c r="G2" s="55"/>
    </row>
    <row r="3" spans="1:7">
      <c r="A3" s="93" t="s">
        <v>117</v>
      </c>
      <c r="B3" s="60"/>
      <c r="C3" s="99">
        <v>1500</v>
      </c>
      <c r="D3" s="93" t="s">
        <v>118</v>
      </c>
      <c r="E3" s="60"/>
      <c r="F3" s="99">
        <v>24000</v>
      </c>
      <c r="G3" s="55"/>
    </row>
    <row r="4" spans="1:7">
      <c r="A4" s="93" t="s">
        <v>119</v>
      </c>
      <c r="B4" s="60"/>
      <c r="C4" s="99">
        <v>1200</v>
      </c>
      <c r="D4" s="93" t="s">
        <v>120</v>
      </c>
      <c r="E4" s="60"/>
      <c r="F4" s="99">
        <v>3000</v>
      </c>
      <c r="G4" s="55"/>
    </row>
    <row r="5" spans="1:7">
      <c r="A5" s="93" t="s">
        <v>121</v>
      </c>
      <c r="B5" s="60"/>
      <c r="C5" s="99">
        <v>1000</v>
      </c>
      <c r="D5" s="93"/>
      <c r="E5" s="60"/>
      <c r="F5" s="93"/>
      <c r="G5" s="55"/>
    </row>
    <row r="6" spans="1:7">
      <c r="A6" s="93" t="s">
        <v>122</v>
      </c>
      <c r="B6" s="60"/>
      <c r="C6" s="99">
        <v>1200</v>
      </c>
      <c r="D6" s="93"/>
      <c r="E6" s="60"/>
      <c r="F6" s="93"/>
      <c r="G6" s="55"/>
    </row>
    <row r="7" spans="1:7">
      <c r="A7" s="93" t="s">
        <v>123</v>
      </c>
      <c r="B7" s="60"/>
      <c r="C7" s="99">
        <v>1000</v>
      </c>
      <c r="D7" s="93"/>
      <c r="E7" s="60"/>
      <c r="F7" s="93"/>
      <c r="G7" s="55"/>
    </row>
    <row r="8" spans="1:7">
      <c r="A8" s="93" t="s">
        <v>124</v>
      </c>
      <c r="B8" s="60"/>
      <c r="C8" s="99">
        <v>3000</v>
      </c>
      <c r="D8" s="93"/>
      <c r="E8" s="60"/>
      <c r="F8" s="93"/>
      <c r="G8" s="55"/>
    </row>
    <row r="9" spans="1:7">
      <c r="A9" s="93" t="s">
        <v>125</v>
      </c>
      <c r="B9" s="60"/>
      <c r="C9" s="99">
        <v>18100</v>
      </c>
      <c r="D9" s="93"/>
      <c r="E9" s="60"/>
      <c r="F9" s="93"/>
      <c r="G9" s="55"/>
    </row>
    <row r="10" spans="1:7">
      <c r="A10" s="94" t="s">
        <v>113</v>
      </c>
      <c r="B10" s="100"/>
      <c r="C10" s="101">
        <v>27000</v>
      </c>
      <c r="D10" s="94" t="s">
        <v>113</v>
      </c>
      <c r="E10" s="100"/>
      <c r="F10" s="101">
        <v>27000</v>
      </c>
      <c r="G10" s="55"/>
    </row>
    <row r="11" spans="1:7">
      <c r="A11" s="55"/>
      <c r="B11" s="55"/>
      <c r="C11" s="55"/>
      <c r="D11" s="55"/>
      <c r="E11" s="55"/>
      <c r="F11" s="55"/>
      <c r="G11" s="55"/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20C88-2E66-439B-8FF7-4017AD577F29}">
  <dimension ref="A1:G11"/>
  <sheetViews>
    <sheetView tabSelected="1" workbookViewId="0">
      <selection activeCell="C14" sqref="C14"/>
    </sheetView>
  </sheetViews>
  <sheetFormatPr defaultRowHeight="15"/>
  <cols>
    <col min="1" max="6" width="18" customWidth="1"/>
  </cols>
  <sheetData>
    <row r="1" spans="1:7" ht="27.75" customHeight="1">
      <c r="A1" s="102" t="s">
        <v>114</v>
      </c>
      <c r="B1" s="103"/>
      <c r="C1" s="103"/>
      <c r="D1" s="103"/>
      <c r="E1" s="103"/>
      <c r="F1" s="104"/>
      <c r="G1" s="55"/>
    </row>
    <row r="2" spans="1:7">
      <c r="A2" s="85"/>
      <c r="B2" s="86"/>
      <c r="C2" s="86"/>
      <c r="D2" s="86"/>
      <c r="E2" s="86"/>
      <c r="F2" s="87"/>
      <c r="G2" s="55"/>
    </row>
    <row r="3" spans="1:7">
      <c r="A3" s="105" t="s">
        <v>126</v>
      </c>
      <c r="B3" s="106" t="s">
        <v>3</v>
      </c>
      <c r="C3" s="106" t="s">
        <v>3</v>
      </c>
      <c r="D3" s="106" t="s">
        <v>127</v>
      </c>
      <c r="E3" s="106" t="s">
        <v>3</v>
      </c>
      <c r="F3" s="106" t="s">
        <v>3</v>
      </c>
      <c r="G3" s="55"/>
    </row>
    <row r="4" spans="1:7">
      <c r="A4" s="88" t="s">
        <v>128</v>
      </c>
      <c r="B4" s="57"/>
      <c r="C4" s="95">
        <v>60000</v>
      </c>
      <c r="D4" s="88" t="s">
        <v>129</v>
      </c>
      <c r="E4" s="57"/>
      <c r="F4" s="95">
        <v>29300</v>
      </c>
      <c r="G4" s="55"/>
    </row>
    <row r="5" spans="1:7">
      <c r="A5" s="88" t="s">
        <v>130</v>
      </c>
      <c r="B5" s="57"/>
      <c r="C5" s="95">
        <v>18100</v>
      </c>
      <c r="D5" s="88"/>
      <c r="E5" s="57"/>
      <c r="F5" s="88"/>
      <c r="G5" s="55"/>
    </row>
    <row r="6" spans="1:7">
      <c r="A6" s="88" t="s">
        <v>131</v>
      </c>
      <c r="B6" s="57"/>
      <c r="C6" s="95">
        <v>78100</v>
      </c>
      <c r="D6" s="88"/>
      <c r="E6" s="57"/>
      <c r="F6" s="88"/>
      <c r="G6" s="55"/>
    </row>
    <row r="7" spans="1:7">
      <c r="A7" s="88"/>
      <c r="B7" s="57"/>
      <c r="C7" s="88"/>
      <c r="D7" s="88"/>
      <c r="E7" s="57"/>
      <c r="F7" s="88"/>
      <c r="G7" s="55"/>
    </row>
    <row r="8" spans="1:7">
      <c r="A8" s="89" t="s">
        <v>132</v>
      </c>
      <c r="B8" s="57"/>
      <c r="C8" s="88"/>
      <c r="D8" s="88"/>
      <c r="E8" s="57"/>
      <c r="F8" s="88"/>
      <c r="G8" s="55"/>
    </row>
    <row r="9" spans="1:7">
      <c r="A9" s="88" t="s">
        <v>133</v>
      </c>
      <c r="B9" s="57"/>
      <c r="C9" s="95">
        <v>5000</v>
      </c>
      <c r="D9" s="88"/>
      <c r="E9" s="57"/>
      <c r="F9" s="88"/>
      <c r="G9" s="55"/>
    </row>
    <row r="10" spans="1:7">
      <c r="A10" s="89" t="s">
        <v>113</v>
      </c>
      <c r="B10" s="107"/>
      <c r="C10" s="108">
        <v>83100</v>
      </c>
      <c r="D10" s="89" t="s">
        <v>113</v>
      </c>
      <c r="E10" s="107"/>
      <c r="F10" s="108">
        <v>83100</v>
      </c>
      <c r="G10" s="55"/>
    </row>
    <row r="11" spans="1:7">
      <c r="A11" s="55"/>
      <c r="B11" s="55"/>
      <c r="C11" s="55"/>
      <c r="D11" s="55"/>
      <c r="E11" s="55"/>
      <c r="F11" s="55"/>
      <c r="G11" s="55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vikneshraja26bcomkcfpc@gmail.com</cp:lastModifiedBy>
  <cp:revision/>
  <dcterms:created xsi:type="dcterms:W3CDTF">2026-09-02T05:11:27Z</dcterms:created>
  <dcterms:modified xsi:type="dcterms:W3CDTF">2026-10-09T05:47:14Z</dcterms:modified>
  <cp:category/>
  <cp:contentStatus/>
</cp:coreProperties>
</file>